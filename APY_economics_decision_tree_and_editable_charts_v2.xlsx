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mas\Documents\GITHUB\tb-community-risk\"/>
    </mc:Choice>
  </mc:AlternateContent>
  <xr:revisionPtr revIDLastSave="0" documentId="13_ncr:1_{21158895-7F4B-4256-8326-E6E4C95B8B59}" xr6:coauthVersionLast="47" xr6:coauthVersionMax="47" xr10:uidLastSave="{00000000-0000-0000-0000-000000000000}"/>
  <bookViews>
    <workbookView xWindow="0" yWindow="360" windowWidth="19420" windowHeight="11500" firstSheet="6" activeTab="6" xr2:uid="{00000000-000D-0000-FFFF-FFFF00000000}"/>
  </bookViews>
  <sheets>
    <sheet name="README" sheetId="1" r:id="rId1"/>
    <sheet name="Inputs_Assumptions" sheetId="2" r:id="rId2"/>
    <sheet name="Strategy_Summary" sheetId="3" r:id="rId3"/>
    <sheet name="Cost_Saving_Check" sheetId="4" r:id="rId4"/>
    <sheet name="Decision_Tree" sheetId="5" r:id="rId5"/>
    <sheet name="Chart_Data" sheetId="6" r:id="rId6"/>
    <sheet name="Editable_Charts" sheetId="7" r:id="rId7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5" l="1"/>
  <c r="F13" i="5"/>
  <c r="E13" i="5"/>
  <c r="D13" i="5"/>
  <c r="G12" i="5"/>
  <c r="F12" i="5"/>
  <c r="E12" i="5"/>
  <c r="D12" i="5"/>
  <c r="G11" i="5"/>
  <c r="G14" i="5" s="1"/>
  <c r="F11" i="5"/>
  <c r="F14" i="5" s="1"/>
  <c r="E11" i="5"/>
  <c r="E14" i="5" s="1"/>
  <c r="D11" i="5"/>
  <c r="D14" i="5" s="1"/>
  <c r="G4" i="5"/>
  <c r="F4" i="5"/>
  <c r="E4" i="5"/>
  <c r="D4" i="5"/>
  <c r="K7" i="4"/>
  <c r="D7" i="4"/>
  <c r="L7" i="4" s="1"/>
  <c r="B7" i="4"/>
  <c r="C7" i="4" s="1"/>
  <c r="E7" i="4" s="1"/>
  <c r="K6" i="4"/>
  <c r="D6" i="4"/>
  <c r="L6" i="4" s="1"/>
  <c r="C6" i="4"/>
  <c r="E6" i="4" s="1"/>
  <c r="B6" i="4"/>
  <c r="F5" i="4"/>
  <c r="G5" i="4" s="1"/>
  <c r="D5" i="4"/>
  <c r="L5" i="4" s="1"/>
  <c r="B5" i="4"/>
  <c r="C5" i="4" s="1"/>
  <c r="E5" i="4" s="1"/>
  <c r="K4" i="4"/>
  <c r="F4" i="4"/>
  <c r="G4" i="4" s="1"/>
  <c r="D4" i="4"/>
  <c r="L4" i="4" s="1"/>
  <c r="B4" i="4"/>
  <c r="C4" i="4" s="1"/>
  <c r="E4" i="4" s="1"/>
  <c r="B5" i="2"/>
  <c r="G5" i="5" s="1"/>
  <c r="G7" i="5" s="1"/>
  <c r="J6" i="4" l="1"/>
  <c r="J4" i="4"/>
  <c r="H4" i="4"/>
  <c r="J7" i="4"/>
  <c r="J5" i="4"/>
  <c r="H5" i="4"/>
  <c r="G6" i="5"/>
  <c r="D5" i="5"/>
  <c r="F7" i="4"/>
  <c r="G7" i="4" s="1"/>
  <c r="H7" i="4" s="1"/>
  <c r="E5" i="5"/>
  <c r="F6" i="4"/>
  <c r="G6" i="4" s="1"/>
  <c r="H6" i="4" s="1"/>
  <c r="F5" i="5"/>
  <c r="K5" i="4"/>
  <c r="F10" i="5" l="1"/>
  <c r="I6" i="4"/>
  <c r="F8" i="5" s="1"/>
  <c r="F9" i="5" s="1"/>
  <c r="I7" i="4"/>
  <c r="G8" i="5" s="1"/>
  <c r="G9" i="5" s="1"/>
  <c r="G10" i="5"/>
  <c r="G15" i="5" s="1"/>
  <c r="D7" i="5"/>
  <c r="D6" i="5"/>
  <c r="E10" i="5"/>
  <c r="I5" i="4"/>
  <c r="E8" i="5" s="1"/>
  <c r="E9" i="5" s="1"/>
  <c r="D10" i="5"/>
  <c r="I4" i="4"/>
  <c r="D8" i="5" s="1"/>
  <c r="D9" i="5" s="1"/>
  <c r="F7" i="5"/>
  <c r="F15" i="5" s="1"/>
  <c r="F6" i="5"/>
  <c r="E7" i="5"/>
  <c r="E6" i="5"/>
  <c r="F16" i="5" l="1"/>
  <c r="F17" i="5"/>
  <c r="G17" i="5"/>
  <c r="G16" i="5"/>
  <c r="D15" i="5"/>
  <c r="E15" i="5"/>
  <c r="E16" i="5" l="1"/>
  <c r="E17" i="5"/>
  <c r="D16" i="5"/>
  <c r="D17" i="5"/>
  <c r="G19" i="5"/>
  <c r="G18" i="5"/>
  <c r="F19" i="5"/>
  <c r="F18" i="5"/>
  <c r="D19" i="5" l="1"/>
  <c r="D18" i="5"/>
  <c r="E19" i="5"/>
  <c r="E18" i="5"/>
</calcChain>
</file>

<file path=xl/sharedStrings.xml><?xml version="1.0" encoding="utf-8"?>
<sst xmlns="http://schemas.openxmlformats.org/spreadsheetml/2006/main" count="214" uniqueCount="154">
  <si>
    <t>APY LTBI health economics decision tree and chart source workbook</t>
  </si>
  <si>
    <t>Purpose</t>
  </si>
  <si>
    <t>This workbook is designed to help ground-truth why the APY health-economics model can appear cost-saving and to provide editable Excel-based chart data for the Word report.</t>
  </si>
  <si>
    <t>It uses the current report's DALY/QALY/ICER strategy summary values and the KWAB150-informed Australian cost assumptions.</t>
  </si>
  <si>
    <t>Key interpretation</t>
  </si>
  <si>
    <t>A strategy is cost-saving when active TB disease costs averted exceed testing + treatment + programme costs.</t>
  </si>
  <si>
    <t>Important caveat</t>
  </si>
  <si>
    <t>Programme setup/running costs, travel/outreach, community engagement, and false-positive incremental costs are currently set to zero unless supplied.</t>
  </si>
  <si>
    <t>How to use in Word</t>
  </si>
  <si>
    <t>Copy charts from the Editable_Charts sheet and paste into Word as linked/embedded Excel charts, not as images.</t>
  </si>
  <si>
    <t>Source</t>
  </si>
  <si>
    <t>APY_LTBI_health_economics_report_updated.docx and the APY DALY/QALY/ICER outputs produced by Codex.</t>
  </si>
  <si>
    <t>Sheets</t>
  </si>
  <si>
    <t>Inputs_Assumptions</t>
  </si>
  <si>
    <t>Editable economics assumptions and model constants.</t>
  </si>
  <si>
    <t>Strategy_Summary</t>
  </si>
  <si>
    <t>Report-facing strategy results.</t>
  </si>
  <si>
    <t>Cost_Saving_Check</t>
  </si>
  <si>
    <t>Formula-driven explanation of why each strategy is cost-saving.</t>
  </si>
  <si>
    <t>Decision_Tree</t>
  </si>
  <si>
    <t>Triage-style decision-tree table with probabilities, costs, and health outcomes.</t>
  </si>
  <si>
    <t>Chart_Data</t>
  </si>
  <si>
    <t>Clean data for editable Excel charts.</t>
  </si>
  <si>
    <t>Editable_Charts</t>
  </si>
  <si>
    <t>Editable Excel charts to paste/link into Word.</t>
  </si>
  <si>
    <t>README</t>
  </si>
  <si>
    <t>This guide.</t>
  </si>
  <si>
    <t>Inputs and assumptions</t>
  </si>
  <si>
    <t>Cohort size N</t>
  </si>
  <si>
    <t>Screening coverage</t>
  </si>
  <si>
    <t>Screened people</t>
  </si>
  <si>
    <t>Screening window years</t>
  </si>
  <si>
    <t>Follow-up horizon years</t>
  </si>
  <si>
    <t>Test type</t>
  </si>
  <si>
    <t>IGRA</t>
  </si>
  <si>
    <t>Regimen</t>
  </si>
  <si>
    <t>3HP</t>
  </si>
  <si>
    <t>IGRA test cost (AUD 2019)</t>
  </si>
  <si>
    <t>TST test cost (AUD 2019)</t>
  </si>
  <si>
    <t>3HP course cost (AUD 2019)</t>
  </si>
  <si>
    <t>4R course cost (AUD 2019)</t>
  </si>
  <si>
    <t>Active TB disease cost per case (AUD 2019)</t>
  </si>
  <si>
    <t>Programme setup cost</t>
  </si>
  <si>
    <t>Programme running cost</t>
  </si>
  <si>
    <t>False-positive incremental cost per person</t>
  </si>
  <si>
    <t>Active TB disability weight</t>
  </si>
  <si>
    <t>Active TB duration years</t>
  </si>
  <si>
    <t>TB case fatality risk (placeholder)</t>
  </si>
  <si>
    <t>Years of life lost per TB death (placeholder)</t>
  </si>
  <si>
    <t>Healthy/LTBI utility</t>
  </si>
  <si>
    <t>Active TB utility</t>
  </si>
  <si>
    <t>SAE utility</t>
  </si>
  <si>
    <t>LTBI treatment decrement base case</t>
  </si>
  <si>
    <t>LTBI treatment decrement sensitivity</t>
  </si>
  <si>
    <t>WTP threshold low (AUD/QALY or DALY)</t>
  </si>
  <si>
    <t>WTP threshold high (AUD/QALY or DALY)</t>
  </si>
  <si>
    <t>Notes</t>
  </si>
  <si>
    <t>Yellow-highlighted assumptions require review before publication.</t>
  </si>
  <si>
    <t>Strategy</t>
  </si>
  <si>
    <t>TB cases prevented</t>
  </si>
  <si>
    <t>Net cost vs baseline</t>
  </si>
  <si>
    <t>DALYs averted</t>
  </si>
  <si>
    <t>QALYs gained</t>
  </si>
  <si>
    <t>Cost per DALY</t>
  </si>
  <si>
    <t>Cost per QALY</t>
  </si>
  <si>
    <t>Cost per active TB case</t>
  </si>
  <si>
    <t>NMB 45k QALY</t>
  </si>
  <si>
    <t>NMB 75k QALY</t>
  </si>
  <si>
    <t>Random</t>
  </si>
  <si>
    <t>LTBI-targeted</t>
  </si>
  <si>
    <t>Cure-targeted</t>
  </si>
  <si>
    <t>Prevention-targeted</t>
  </si>
  <si>
    <t>Interpretation note</t>
  </si>
  <si>
    <t>Negative ICERs here indicate cost-saving relative to baseline, not that the intervention has no cost. Programme costs are outweighed by active TB disease costs averted under the current assumptions.</t>
  </si>
  <si>
    <t>Dale et al. was not cost-saving largely because its population, comparator, time horizon, emigration, mortality, and programme cost structure differed substantially.</t>
  </si>
  <si>
    <t>Current APY outputs exclude programme setup/running and local outreach costs unless supplied.</t>
  </si>
  <si>
    <t>Why the strategies are cost-saving under current assumptions</t>
  </si>
  <si>
    <t>Cases prevented</t>
  </si>
  <si>
    <t>TB disease cost averted</t>
  </si>
  <si>
    <t>Implied total programme cost</t>
  </si>
  <si>
    <t>Testing cost</t>
  </si>
  <si>
    <t>Implied treatment/other cost</t>
  </si>
  <si>
    <t>Implied TPT starts</t>
  </si>
  <si>
    <t>Break-even TB cases</t>
  </si>
  <si>
    <t>Cost-saving?</t>
  </si>
  <si>
    <t>Explanation</t>
  </si>
  <si>
    <t>Triage-style outcomes / decision tree with costs and utilities</t>
  </si>
  <si>
    <t>Stage</t>
  </si>
  <si>
    <t>Node / branch</t>
  </si>
  <si>
    <t>Formula / source</t>
  </si>
  <si>
    <t>Population</t>
  </si>
  <si>
    <t>Eligible cohort</t>
  </si>
  <si>
    <t>N</t>
  </si>
  <si>
    <t>Closed APY cohort in model.</t>
  </si>
  <si>
    <t>Screening</t>
  </si>
  <si>
    <t>Screened</t>
  </si>
  <si>
    <t>N × screening coverage</t>
  </si>
  <si>
    <t>All strategies shown at 30% coverage.</t>
  </si>
  <si>
    <t>Not screened</t>
  </si>
  <si>
    <t>N - screened</t>
  </si>
  <si>
    <t>Costs</t>
  </si>
  <si>
    <t>screened × IGRA cost</t>
  </si>
  <si>
    <t>Edit test costs on Inputs sheet.</t>
  </si>
  <si>
    <t>Treatment</t>
  </si>
  <si>
    <t>derived from treatment/other cost ÷ 3HP cost</t>
  </si>
  <si>
    <t>Derived because detailed starts are not in the Word summary table.</t>
  </si>
  <si>
    <t>TPT start probability among screened</t>
  </si>
  <si>
    <t>starts / screened</t>
  </si>
  <si>
    <t>Use actual model starts if available.</t>
  </si>
  <si>
    <t>Treatment/other cost</t>
  </si>
  <si>
    <t>programme cost - testing cost</t>
  </si>
  <si>
    <t>Includes implied TPT costs under current assumptions.</t>
  </si>
  <si>
    <t>Health outcomes</t>
  </si>
  <si>
    <t>Active TB cases prevented</t>
  </si>
  <si>
    <t>from strategy summary</t>
  </si>
  <si>
    <t>TB disease costs averted</t>
  </si>
  <si>
    <t>cases prevented × active TB cost</t>
  </si>
  <si>
    <t>Included programme cost</t>
  </si>
  <si>
    <t>testing + treatment/other + setup/running</t>
  </si>
  <si>
    <t>programme cost - TB costs averted</t>
  </si>
  <si>
    <t>Negative = cost-saving under current included costs.</t>
  </si>
  <si>
    <t>Threshold</t>
  </si>
  <si>
    <t>programme cost ÷ active TB case cost</t>
  </si>
  <si>
    <t>Actual cases prevented exceed this under current assumptions.</t>
  </si>
  <si>
    <t>ICER</t>
  </si>
  <si>
    <t>net cost ÷ DALYs</t>
  </si>
  <si>
    <t>net cost ÷ QALYs</t>
  </si>
  <si>
    <t>Cost per DALY averted</t>
  </si>
  <si>
    <t>Cost per QALY gained</t>
  </si>
  <si>
    <t>Cost per active TB case prevented</t>
  </si>
  <si>
    <t>Actual minus break-even</t>
  </si>
  <si>
    <t>Sensitivity assumption</t>
  </si>
  <si>
    <t>Interpretation</t>
  </si>
  <si>
    <t>Base case</t>
  </si>
  <si>
    <t>Dominant under current included costs</t>
  </si>
  <si>
    <t>LTBI treatment decrement = 0.0133</t>
  </si>
  <si>
    <t>QALYs reduced; review treatment-disutility assumption</t>
  </si>
  <si>
    <t>YLD-only DALY</t>
  </si>
  <si>
    <t>DALYs much smaller when YLL excluded</t>
  </si>
  <si>
    <t>Conservative YLL</t>
  </si>
  <si>
    <t>Still cost-saving under current costs</t>
  </si>
  <si>
    <t>High YLL</t>
  </si>
  <si>
    <t>Larger health gain</t>
  </si>
  <si>
    <t>Lower TB CFR</t>
  </si>
  <si>
    <t>Smaller health gain</t>
  </si>
  <si>
    <t>Higher TB CFR</t>
  </si>
  <si>
    <t>The chart data table is now populated. Charts on the Editable_Charts sheet are native Excel charts linked to this sheet.</t>
  </si>
  <si>
    <t>Negative ICERs/costs indicate cost-saving under current included costs; interpret cautiously because programme setup/running, outreach, travel, and false-positive incremental costs are not yet supplied.</t>
  </si>
  <si>
    <t>DALYs are much larger than QALYs because DALYs include YLL from TB deaths prevented; QALYs here only reflect morbidity/utility loss averted from active TB minus treatment/SAE disutility.</t>
  </si>
  <si>
    <t>Sensitivity rows are illustrative here unless exact sensitivity values are regenerated from the CSV outputs in the repo.</t>
  </si>
  <si>
    <t>Editable Excel charts — linked to Chart_Data sheet</t>
  </si>
  <si>
    <t>Copy these charts into Word using Paste Special → Microsoft Excel Chart Object. They are not images; they retain editable chart data in Excel.</t>
  </si>
  <si>
    <t>Instructions: These are native Excel charts based on the Chart_Data sheet. In Word, use Paste Special &gt; Paste Link &gt; Microsoft Excel Chart Object to keep them editable and data-linked.</t>
  </si>
  <si>
    <t>Note: Figures are native Excel charts and should be editable. Use Chart_Data to update data/labels.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</si>
</sst>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[Red]\$\-#,##0"/>
    <numFmt numFmtId="165" formatCode="0.000"/>
    <numFmt numFmtId="166" formatCode="0.0"/>
    <numFmt numFmtId="167" formatCode="#,##0.000"/>
    <numFmt numFmtId="168" formatCode="\$#,##0;[Red]\$#,##0"/>
  </numFmts>
  <fonts count="6">
    <font>
      <sz val="11"/>
      <name val="Carlito"/>
    </font>
    <font>
      <b/>
      <sz val="16"/>
      <color rgb="FF0F766E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E0F2F1"/>
      </patternFill>
    </fill>
    <fill>
      <patternFill patternType="solid">
        <fgColor rgb="FF0F766E"/>
      </patternFill>
    </fill>
    <fill>
      <patternFill patternType="solid">
        <fgColor rgb="FFFEF3C7"/>
      </patternFill>
    </fill>
    <fill>
      <patternFill patternType="solid">
        <fgColor rgb="FFFEF9C3"/>
      </patternFill>
    </fill>
    <fill>
      <patternFill patternType="solid">
        <fgColor rgb="FF0F766E"/>
      </patternFill>
    </fill>
    <fill>
      <patternFill patternType="solid">
        <fgColor rgb="FF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2" fillId="6" borderId="0" xfId="0" applyFont="1" applyFill="1" applyAlignment="1">
      <alignment wrapText="1"/>
    </xf>
    <xf numFmtId="167" fontId="0" fillId="0" borderId="0" xfId="0" applyNumberFormat="1" applyAlignment="1">
      <alignment wrapText="1"/>
    </xf>
    <xf numFmtId="167" fontId="2" fillId="3" borderId="0" xfId="0" applyNumberFormat="1" applyFont="1" applyFill="1" applyAlignment="1">
      <alignment wrapText="1"/>
    </xf>
    <xf numFmtId="3" fontId="0" fillId="0" borderId="0" xfId="0" applyNumberFormat="1" applyAlignment="1">
      <alignment wrapText="1"/>
    </xf>
    <xf numFmtId="3" fontId="2" fillId="3" borderId="0" xfId="0" applyNumberFormat="1" applyFont="1" applyFill="1" applyAlignment="1">
      <alignment wrapText="1"/>
    </xf>
    <xf numFmtId="168" fontId="0" fillId="0" borderId="0" xfId="0" applyNumberFormat="1" applyAlignment="1">
      <alignment wrapText="1"/>
    </xf>
    <xf numFmtId="168" fontId="2" fillId="3" borderId="0" xfId="0" applyNumberFormat="1" applyFont="1" applyFill="1" applyAlignment="1">
      <alignment wrapText="1"/>
    </xf>
    <xf numFmtId="2" fontId="0" fillId="0" borderId="0" xfId="0" applyNumberFormat="1" applyAlignment="1">
      <alignment wrapText="1"/>
    </xf>
    <xf numFmtId="0" fontId="4" fillId="7" borderId="0" xfId="0" applyFont="1" applyFill="1"/>
    <xf numFmtId="0" fontId="5" fillId="6" borderId="0" xfId="0" applyFont="1" applyFill="1"/>
    <xf numFmtId="0" fontId="3" fillId="6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4" fillId="5" borderId="0" xfId="0" applyFont="1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Cost per DALY averted</c:v>
          </c:tx>
          <c:invertIfNegative val="1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Chart_Data!$F$2:$F$5</c:f>
              <c:numCache>
                <c:formatCode>\$#,##0;[Red]\$#,##0</c:formatCode>
                <c:ptCount val="4"/>
                <c:pt idx="0">
                  <c:v>-3030</c:v>
                </c:pt>
                <c:pt idx="1">
                  <c:v>-8156</c:v>
                </c:pt>
                <c:pt idx="2">
                  <c:v>-8156</c:v>
                </c:pt>
                <c:pt idx="3">
                  <c:v>-8484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F-4F1F-B896-790ED5A9A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AU"/>
                  <a:t>AUD per DALY averted</a:t>
                </a:r>
              </a:p>
            </c:rich>
          </c:tx>
          <c:overlay val="0"/>
        </c:title>
        <c:numFmt formatCode="\$#,##0;[Red]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Cost per QALY gained</c:v>
          </c:tx>
          <c:invertIfNegative val="1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Chart_Data!$G$2:$G$5</c:f>
              <c:numCache>
                <c:formatCode>\$#,##0;[Red]\$#,##0</c:formatCode>
                <c:ptCount val="4"/>
                <c:pt idx="0">
                  <c:v>-181242</c:v>
                </c:pt>
                <c:pt idx="1">
                  <c:v>-487891</c:v>
                </c:pt>
                <c:pt idx="2">
                  <c:v>-487891</c:v>
                </c:pt>
                <c:pt idx="3">
                  <c:v>-507465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D-4176-8ACD-D26540F56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AU"/>
                  <a:t>AUD per QALY gained</a:t>
                </a:r>
              </a:p>
            </c:rich>
          </c:tx>
          <c:overlay val="0"/>
        </c:title>
        <c:numFmt formatCode="\$#,##0;[Red]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Strategies</c:v>
          </c:tx>
          <c:xVal>
            <c:numRef>
              <c:f>Chart_Data!$D$2:$D$5</c:f>
              <c:numCache>
                <c:formatCode>#,##0.000</c:formatCode>
                <c:ptCount val="4"/>
                <c:pt idx="0">
                  <c:v>6.5860000000000003</c:v>
                </c:pt>
                <c:pt idx="1">
                  <c:v>18.111000000000001</c:v>
                </c:pt>
                <c:pt idx="2">
                  <c:v>18.111000000000001</c:v>
                </c:pt>
                <c:pt idx="3">
                  <c:v>19.757999999999999</c:v>
                </c:pt>
              </c:numCache>
            </c:numRef>
          </c:xVal>
          <c:yVal>
            <c:numRef>
              <c:f>Chart_Data!$C$2:$C$5</c:f>
              <c:numCache>
                <c:formatCode>\$#,##0;[Red]\$#,##0</c:formatCode>
                <c:ptCount val="4"/>
                <c:pt idx="0">
                  <c:v>-19956</c:v>
                </c:pt>
                <c:pt idx="1">
                  <c:v>-147721</c:v>
                </c:pt>
                <c:pt idx="2">
                  <c:v>-147721</c:v>
                </c:pt>
                <c:pt idx="3">
                  <c:v>-167628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89-4158-B3FA-5EB70131F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$#,##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Strategies</c:v>
          </c:tx>
          <c:xVal>
            <c:numRef>
              <c:f>Chart_Data!$E$2:$E$5</c:f>
              <c:numCache>
                <c:formatCode>#,##0.000</c:formatCode>
                <c:ptCount val="4"/>
                <c:pt idx="0">
                  <c:v>0.11</c:v>
                </c:pt>
                <c:pt idx="1">
                  <c:v>0.30299999999999999</c:v>
                </c:pt>
                <c:pt idx="2">
                  <c:v>0.30299999999999999</c:v>
                </c:pt>
                <c:pt idx="3">
                  <c:v>0.33</c:v>
                </c:pt>
              </c:numCache>
            </c:numRef>
          </c:xVal>
          <c:yVal>
            <c:numRef>
              <c:f>Chart_Data!$C$2:$C$5</c:f>
              <c:numCache>
                <c:formatCode>\$#,##0;[Red]\$#,##0</c:formatCode>
                <c:ptCount val="4"/>
                <c:pt idx="0">
                  <c:v>-19956</c:v>
                </c:pt>
                <c:pt idx="1">
                  <c:v>-147721</c:v>
                </c:pt>
                <c:pt idx="2">
                  <c:v>-147721</c:v>
                </c:pt>
                <c:pt idx="3">
                  <c:v>-167628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05-4F3D-BAF5-51BBBC300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$#,##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Active TB cases prevented</c:v>
          </c:tx>
          <c:invertIfNegative val="1"/>
          <c:cat>
            <c:strRef>
              <c:f>Chart_Data!$A$2:$A$5</c:f>
              <c:strCache>
                <c:ptCount val="4"/>
                <c:pt idx="0">
                  <c:v>Random</c:v>
                </c:pt>
                <c:pt idx="1">
                  <c:v>LTBI-targeted</c:v>
                </c:pt>
                <c:pt idx="2">
                  <c:v>Cure-targeted</c:v>
                </c:pt>
                <c:pt idx="3">
                  <c:v>Prevention-targeted</c:v>
                </c:pt>
              </c:strCache>
            </c:strRef>
          </c:cat>
          <c:val>
            <c:numRef>
              <c:f>Chart_Data!$B$2:$B$5</c:f>
              <c:numCache>
                <c:formatCode>#,##0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11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A-4C5E-8FD7-DCCC89BD1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AU"/>
                  <a:t>Cases prevented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DALYs averted</c:v>
          </c:tx>
          <c:invertIfNegative val="1"/>
          <c:cat>
            <c:strRef>
              <c:f>Chart_Data!$A$9:$A$15</c:f>
              <c:strCache>
                <c:ptCount val="7"/>
                <c:pt idx="0">
                  <c:v>Base case</c:v>
                </c:pt>
                <c:pt idx="1">
                  <c:v>LTBI treatment decrement = 0.0133</c:v>
                </c:pt>
                <c:pt idx="2">
                  <c:v>YLD-only DALY</c:v>
                </c:pt>
                <c:pt idx="3">
                  <c:v>Conservative YLL</c:v>
                </c:pt>
                <c:pt idx="4">
                  <c:v>High YLL</c:v>
                </c:pt>
                <c:pt idx="5">
                  <c:v>Lower TB CFR</c:v>
                </c:pt>
                <c:pt idx="6">
                  <c:v>Higher TB CFR</c:v>
                </c:pt>
              </c:strCache>
            </c:strRef>
          </c:cat>
          <c:val>
            <c:numRef>
              <c:f>Chart_Data!$C$9:$C$15</c:f>
              <c:numCache>
                <c:formatCode>General</c:formatCode>
                <c:ptCount val="7"/>
                <c:pt idx="0">
                  <c:v>19.757999999999999</c:v>
                </c:pt>
                <c:pt idx="1">
                  <c:v>19.757999999999999</c:v>
                </c:pt>
                <c:pt idx="2">
                  <c:v>1.998</c:v>
                </c:pt>
                <c:pt idx="3">
                  <c:v>9.1020000000000003</c:v>
                </c:pt>
                <c:pt idx="4">
                  <c:v>30.414000000000001</c:v>
                </c:pt>
                <c:pt idx="5">
                  <c:v>10.878</c:v>
                </c:pt>
                <c:pt idx="6">
                  <c:v>28.638000000000002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F-4A92-A5C3-80004F689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AU"/>
                  <a:t>DALYs averted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17</xdr:col>
      <xdr:colOff>0</xdr:colOff>
      <xdr:row>39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41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workbookViewId="0"/>
  </sheetViews>
  <sheetFormatPr defaultRowHeight="14.25"/>
  <cols>
    <col min="1" max="1" width="141.5" customWidth="1"/>
    <col min="2" max="2" width="121.75" customWidth="1"/>
  </cols>
  <sheetData>
    <row r="1" spans="1:26" ht="27.9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spans="1:26">
      <c r="A3" t="s">
        <v>1</v>
      </c>
    </row>
    <row r="4" spans="1:26">
      <c r="A4" t="s">
        <v>2</v>
      </c>
    </row>
    <row r="5" spans="1:26">
      <c r="A5" t="s">
        <v>3</v>
      </c>
    </row>
    <row r="6" spans="1:26">
      <c r="A6" t="s">
        <v>4</v>
      </c>
      <c r="B6" t="s">
        <v>5</v>
      </c>
    </row>
    <row r="7" spans="1:26">
      <c r="A7" t="s">
        <v>6</v>
      </c>
      <c r="B7" t="s">
        <v>7</v>
      </c>
    </row>
    <row r="8" spans="1:26">
      <c r="A8" t="s">
        <v>8</v>
      </c>
      <c r="B8" t="s">
        <v>9</v>
      </c>
    </row>
    <row r="9" spans="1:26">
      <c r="A9" t="s">
        <v>10</v>
      </c>
      <c r="B9" t="s">
        <v>11</v>
      </c>
    </row>
    <row r="12" spans="1:26">
      <c r="A12" t="s">
        <v>12</v>
      </c>
    </row>
    <row r="13" spans="1:26">
      <c r="A13" t="s">
        <v>13</v>
      </c>
      <c r="B13" t="s">
        <v>14</v>
      </c>
    </row>
    <row r="14" spans="1:26">
      <c r="A14" t="s">
        <v>15</v>
      </c>
      <c r="B14" t="s">
        <v>16</v>
      </c>
    </row>
    <row r="15" spans="1:26">
      <c r="A15" t="s">
        <v>17</v>
      </c>
      <c r="B15" t="s">
        <v>18</v>
      </c>
    </row>
    <row r="16" spans="1:26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9"/>
  <sheetViews>
    <sheetView topLeftCell="A5" workbookViewId="0">
      <selection activeCell="B11" sqref="B11"/>
    </sheetView>
  </sheetViews>
  <sheetFormatPr defaultRowHeight="14.25"/>
  <cols>
    <col min="1" max="1" width="41.125" customWidth="1"/>
    <col min="2" max="2" width="19.625" customWidth="1"/>
  </cols>
  <sheetData>
    <row r="1" spans="1:26" ht="27.95" customHeight="1">
      <c r="A1" s="20" t="s">
        <v>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/>
      <c r="B2" s="7"/>
    </row>
    <row r="3" spans="1:26" ht="15">
      <c r="A3" s="1" t="s">
        <v>28</v>
      </c>
      <c r="B3" s="1">
        <v>1500</v>
      </c>
    </row>
    <row r="4" spans="1:26" ht="15">
      <c r="A4" s="21" t="s">
        <v>29</v>
      </c>
      <c r="B4" s="7">
        <v>0.3</v>
      </c>
    </row>
    <row r="5" spans="1:26" ht="15">
      <c r="A5" s="21" t="s">
        <v>30</v>
      </c>
      <c r="B5" s="7">
        <f>B3*B4</f>
        <v>450</v>
      </c>
    </row>
    <row r="6" spans="1:26" ht="15">
      <c r="A6" s="21" t="s">
        <v>31</v>
      </c>
      <c r="B6" s="7">
        <v>2</v>
      </c>
    </row>
    <row r="7" spans="1:26" ht="15">
      <c r="A7" s="21" t="s">
        <v>32</v>
      </c>
      <c r="B7" s="7">
        <v>20</v>
      </c>
    </row>
    <row r="8" spans="1:26" ht="15">
      <c r="A8" s="21" t="s">
        <v>33</v>
      </c>
      <c r="B8" s="22" t="s">
        <v>34</v>
      </c>
    </row>
    <row r="9" spans="1:26" ht="15">
      <c r="A9" s="21" t="s">
        <v>35</v>
      </c>
      <c r="B9" s="22" t="s">
        <v>36</v>
      </c>
    </row>
    <row r="10" spans="1:26" ht="15">
      <c r="A10" s="21" t="s">
        <v>37</v>
      </c>
      <c r="B10" s="22">
        <v>11348</v>
      </c>
    </row>
    <row r="11" spans="1:26" ht="15">
      <c r="A11" s="21" t="s">
        <v>38</v>
      </c>
      <c r="B11" s="22">
        <v>116.07</v>
      </c>
    </row>
    <row r="12" spans="1:26" ht="15">
      <c r="A12" s="21" t="s">
        <v>39</v>
      </c>
      <c r="B12" s="22">
        <v>165.50720000000001</v>
      </c>
    </row>
    <row r="13" spans="1:26" ht="15">
      <c r="A13" s="21" t="s">
        <v>40</v>
      </c>
      <c r="B13" s="22">
        <v>123.3172</v>
      </c>
    </row>
    <row r="14" spans="1:26" ht="15">
      <c r="A14" s="21" t="s">
        <v>41</v>
      </c>
      <c r="B14" s="22">
        <v>19079.599999999999</v>
      </c>
    </row>
    <row r="15" spans="1:26" ht="15">
      <c r="A15" s="21" t="s">
        <v>42</v>
      </c>
      <c r="B15" s="22"/>
    </row>
    <row r="16" spans="1:26" ht="15">
      <c r="A16" s="21" t="s">
        <v>43</v>
      </c>
      <c r="B16" s="22"/>
    </row>
    <row r="17" spans="1:2" ht="15">
      <c r="A17" s="21" t="s">
        <v>44</v>
      </c>
      <c r="B17" s="22"/>
    </row>
    <row r="18" spans="1:2" ht="15">
      <c r="A18" s="21" t="s">
        <v>45</v>
      </c>
      <c r="B18" s="22">
        <v>0.33300000000000002</v>
      </c>
    </row>
    <row r="19" spans="1:2" ht="15">
      <c r="A19" s="21" t="s">
        <v>46</v>
      </c>
      <c r="B19" s="22">
        <v>0.5</v>
      </c>
    </row>
    <row r="20" spans="1:2" ht="15">
      <c r="A20" s="21" t="s">
        <v>47</v>
      </c>
      <c r="B20" s="22">
        <v>7.3999999999999996E-2</v>
      </c>
    </row>
    <row r="21" spans="1:2" ht="15">
      <c r="A21" s="23" t="s">
        <v>48</v>
      </c>
      <c r="B21" s="24">
        <v>20</v>
      </c>
    </row>
    <row r="22" spans="1:2" ht="15">
      <c r="A22" s="23" t="s">
        <v>49</v>
      </c>
      <c r="B22" s="24">
        <v>0.87329999999999997</v>
      </c>
    </row>
    <row r="23" spans="1:2" ht="15">
      <c r="A23" s="23" t="s">
        <v>50</v>
      </c>
      <c r="B23" s="24">
        <v>0.81820000000000004</v>
      </c>
    </row>
    <row r="24" spans="1:2" ht="15">
      <c r="A24" s="23" t="s">
        <v>51</v>
      </c>
      <c r="B24" s="24">
        <v>0.86850000000000005</v>
      </c>
    </row>
    <row r="25" spans="1:2" ht="15">
      <c r="A25" s="23" t="s">
        <v>52</v>
      </c>
      <c r="B25" s="24">
        <v>0</v>
      </c>
    </row>
    <row r="26" spans="1:2" ht="15">
      <c r="A26" s="23" t="s">
        <v>53</v>
      </c>
      <c r="B26" s="24">
        <v>1.3299999999999999E-2</v>
      </c>
    </row>
    <row r="27" spans="1:2" ht="15">
      <c r="A27" s="23" t="s">
        <v>54</v>
      </c>
      <c r="B27" s="24">
        <v>45000</v>
      </c>
    </row>
    <row r="28" spans="1:2" ht="15">
      <c r="A28" s="23" t="s">
        <v>55</v>
      </c>
      <c r="B28" s="24">
        <v>75000</v>
      </c>
    </row>
    <row r="29" spans="1:2" ht="57.75">
      <c r="A29" s="23" t="s">
        <v>56</v>
      </c>
      <c r="B29" s="2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workbookViewId="0">
      <selection activeCell="D4" sqref="D4"/>
    </sheetView>
  </sheetViews>
  <sheetFormatPr defaultRowHeight="14.25"/>
  <cols>
    <col min="1" max="1" width="22" customWidth="1"/>
    <col min="2" max="2" width="15.625" customWidth="1"/>
    <col min="3" max="3" width="16.125" customWidth="1"/>
    <col min="4" max="4" width="11.5" customWidth="1"/>
    <col min="5" max="5" width="10.75" customWidth="1"/>
    <col min="6" max="6" width="11.125" customWidth="1"/>
    <col min="7" max="7" width="11.25" customWidth="1"/>
    <col min="8" max="8" width="18.625" customWidth="1"/>
    <col min="9" max="10" width="12.125" customWidth="1"/>
  </cols>
  <sheetData>
    <row r="1" spans="1:26" ht="27.95" customHeight="1">
      <c r="A1" s="1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9" t="s">
        <v>64</v>
      </c>
      <c r="H1" s="9" t="s">
        <v>65</v>
      </c>
      <c r="I1" s="9" t="s">
        <v>66</v>
      </c>
      <c r="J1" s="9" t="s">
        <v>67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t="s">
        <v>68</v>
      </c>
      <c r="B2" s="3">
        <v>4</v>
      </c>
      <c r="C2" s="2">
        <v>-19956</v>
      </c>
      <c r="D2" s="4">
        <v>6.5860000000000003</v>
      </c>
      <c r="E2" s="4">
        <v>0.11</v>
      </c>
      <c r="F2" s="2">
        <v>-3030</v>
      </c>
      <c r="G2" s="2">
        <v>-181242</v>
      </c>
      <c r="H2" s="2">
        <v>-4989</v>
      </c>
      <c r="I2" s="2">
        <v>24911</v>
      </c>
      <c r="J2" s="2">
        <v>28214</v>
      </c>
    </row>
    <row r="3" spans="1:26">
      <c r="A3" t="s">
        <v>69</v>
      </c>
      <c r="B3" s="3">
        <v>11</v>
      </c>
      <c r="C3" s="2">
        <v>-147721</v>
      </c>
      <c r="D3" s="4">
        <v>18.111000000000001</v>
      </c>
      <c r="E3" s="4">
        <v>0.30299999999999999</v>
      </c>
      <c r="F3" s="2">
        <v>-8156</v>
      </c>
      <c r="G3" s="2">
        <v>-487891</v>
      </c>
      <c r="H3" s="2">
        <v>-13429</v>
      </c>
      <c r="I3" s="2">
        <v>161345</v>
      </c>
      <c r="J3" s="2">
        <v>170429</v>
      </c>
    </row>
    <row r="4" spans="1:26">
      <c r="A4" t="s">
        <v>70</v>
      </c>
      <c r="B4" s="3">
        <v>11</v>
      </c>
      <c r="C4" s="2">
        <v>-147721</v>
      </c>
      <c r="D4" s="4">
        <v>18.111000000000001</v>
      </c>
      <c r="E4" s="4">
        <v>0.30299999999999999</v>
      </c>
      <c r="F4" s="2">
        <v>-8156</v>
      </c>
      <c r="G4" s="2">
        <v>-487891</v>
      </c>
      <c r="H4" s="2">
        <v>-13429</v>
      </c>
      <c r="I4" s="2">
        <v>161345</v>
      </c>
      <c r="J4" s="2">
        <v>170429</v>
      </c>
    </row>
    <row r="5" spans="1:26">
      <c r="A5" t="s">
        <v>71</v>
      </c>
      <c r="B5" s="3">
        <v>12</v>
      </c>
      <c r="C5" s="2">
        <v>-167628</v>
      </c>
      <c r="D5" s="4">
        <v>19.757999999999999</v>
      </c>
      <c r="E5" s="4">
        <v>0.33</v>
      </c>
      <c r="F5" s="2">
        <v>-8484</v>
      </c>
      <c r="G5" s="2">
        <v>-507465</v>
      </c>
      <c r="H5" s="2">
        <v>-13969</v>
      </c>
      <c r="I5" s="2">
        <v>182492</v>
      </c>
      <c r="J5" s="2">
        <v>192402</v>
      </c>
    </row>
    <row r="7" spans="1:26">
      <c r="A7" t="s">
        <v>72</v>
      </c>
    </row>
    <row r="8" spans="1:26">
      <c r="A8" t="s">
        <v>73</v>
      </c>
    </row>
    <row r="9" spans="1:26">
      <c r="A9" t="s">
        <v>74</v>
      </c>
    </row>
    <row r="10" spans="1:26">
      <c r="A10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"/>
  <sheetViews>
    <sheetView workbookViewId="0">
      <selection activeCell="C5" sqref="C5"/>
    </sheetView>
  </sheetViews>
  <sheetFormatPr defaultRowHeight="14.25"/>
  <cols>
    <col min="1" max="1" width="73.25" customWidth="1"/>
    <col min="2" max="2" width="13.375" customWidth="1"/>
    <col min="3" max="3" width="19" customWidth="1"/>
    <col min="4" max="4" width="16.125" customWidth="1"/>
    <col min="5" max="5" width="24.25" customWidth="1"/>
    <col min="6" max="6" width="13.625" customWidth="1"/>
    <col min="7" max="7" width="9.375" customWidth="1"/>
    <col min="8" max="8" width="24" customWidth="1"/>
    <col min="9" max="9" width="14.625" customWidth="1"/>
    <col min="10" max="10" width="16.375" customWidth="1"/>
    <col min="11" max="11" width="10.125" customWidth="1"/>
    <col min="12" max="12" width="42" customWidth="1"/>
  </cols>
  <sheetData>
    <row r="1" spans="1:26" ht="27.95" customHeight="1">
      <c r="A1" s="19" t="s">
        <v>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58</v>
      </c>
      <c r="B3" s="1" t="s">
        <v>77</v>
      </c>
      <c r="C3" s="1" t="s">
        <v>78</v>
      </c>
      <c r="D3" s="1" t="s">
        <v>60</v>
      </c>
      <c r="E3" s="1" t="s">
        <v>79</v>
      </c>
      <c r="F3" s="1" t="s">
        <v>30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</row>
    <row r="4" spans="1:26">
      <c r="A4" t="s">
        <v>68</v>
      </c>
      <c r="B4" s="3">
        <f>Strategy_Summary!B2</f>
        <v>4</v>
      </c>
      <c r="C4" s="2">
        <f>B4*Inputs_Assumptions!$B$14</f>
        <v>76318.399999999994</v>
      </c>
      <c r="D4" s="2">
        <f>Strategy_Summary!C2</f>
        <v>-19956</v>
      </c>
      <c r="E4" s="2">
        <f>C4+D4</f>
        <v>56362.399999999994</v>
      </c>
      <c r="F4" s="2">
        <f>Inputs_Assumptions!$B$5</f>
        <v>450</v>
      </c>
      <c r="G4" s="2">
        <f>F4*Inputs_Assumptions!$B$10</f>
        <v>5106600</v>
      </c>
      <c r="H4" s="2">
        <f>E4-G4</f>
        <v>-5050237.5999999996</v>
      </c>
      <c r="I4" s="5">
        <f>IF(Inputs_Assumptions!$B$12&gt;0,H4/Inputs_Assumptions!$B$12,"")</f>
        <v>-30513.70333133543</v>
      </c>
      <c r="J4" s="5">
        <f>IF(Inputs_Assumptions!$B$14&gt;0,E4/Inputs_Assumptions!$B$14,"")</f>
        <v>2.9540661229795173</v>
      </c>
      <c r="K4" t="str">
        <f>IF(D4&lt;0,"Yes","No")</f>
        <v>Yes</v>
      </c>
      <c r="L4" t="str">
        <f>IF(D4&lt;0,"TB costs averted exceed included programme costs","Programme costs exceed TB costs averted")</f>
        <v>TB costs averted exceed included programme costs</v>
      </c>
    </row>
    <row r="5" spans="1:26">
      <c r="A5" t="s">
        <v>69</v>
      </c>
      <c r="B5" s="3">
        <f>Strategy_Summary!B3</f>
        <v>11</v>
      </c>
      <c r="C5" s="2">
        <f>B5*Inputs_Assumptions!$B$14</f>
        <v>209875.59999999998</v>
      </c>
      <c r="D5" s="2">
        <f>Strategy_Summary!C3</f>
        <v>-147721</v>
      </c>
      <c r="E5" s="2">
        <f>C5+D5</f>
        <v>62154.599999999977</v>
      </c>
      <c r="F5" s="2">
        <f>Inputs_Assumptions!$B$5</f>
        <v>450</v>
      </c>
      <c r="G5" s="2">
        <f>F5*Inputs_Assumptions!$B$10</f>
        <v>5106600</v>
      </c>
      <c r="H5" s="2">
        <f>E5-G5</f>
        <v>-5044445.4000000004</v>
      </c>
      <c r="I5" s="5">
        <f>IF(Inputs_Assumptions!$B$12&gt;0,H5/Inputs_Assumptions!$B$12,"")</f>
        <v>-30478.706666537772</v>
      </c>
      <c r="J5" s="5">
        <f>IF(Inputs_Assumptions!$B$14&gt;0,E5/Inputs_Assumptions!$B$14,"")</f>
        <v>3.2576469108367041</v>
      </c>
      <c r="K5" t="str">
        <f>IF(D5&lt;0,"Yes","No")</f>
        <v>Yes</v>
      </c>
      <c r="L5" t="str">
        <f>IF(D5&lt;0,"TB costs averted exceed included programme costs","Programme costs exceed TB costs averted")</f>
        <v>TB costs averted exceed included programme costs</v>
      </c>
    </row>
    <row r="6" spans="1:26">
      <c r="A6" t="s">
        <v>70</v>
      </c>
      <c r="B6" s="3">
        <f>Strategy_Summary!B4</f>
        <v>11</v>
      </c>
      <c r="C6" s="2">
        <f>B6*Inputs_Assumptions!$B$14</f>
        <v>209875.59999999998</v>
      </c>
      <c r="D6" s="2">
        <f>Strategy_Summary!C4</f>
        <v>-147721</v>
      </c>
      <c r="E6" s="2">
        <f>C6+D6</f>
        <v>62154.599999999977</v>
      </c>
      <c r="F6" s="2">
        <f>Inputs_Assumptions!$B$5</f>
        <v>450</v>
      </c>
      <c r="G6" s="2">
        <f>F6*Inputs_Assumptions!$B$10</f>
        <v>5106600</v>
      </c>
      <c r="H6" s="2">
        <f>E6-G6</f>
        <v>-5044445.4000000004</v>
      </c>
      <c r="I6" s="5">
        <f>IF(Inputs_Assumptions!$B$12&gt;0,H6/Inputs_Assumptions!$B$12,"")</f>
        <v>-30478.706666537772</v>
      </c>
      <c r="J6" s="5">
        <f>IF(Inputs_Assumptions!$B$14&gt;0,E6/Inputs_Assumptions!$B$14,"")</f>
        <v>3.2576469108367041</v>
      </c>
      <c r="K6" t="str">
        <f>IF(D6&lt;0,"Yes","No")</f>
        <v>Yes</v>
      </c>
      <c r="L6" t="str">
        <f>IF(D6&lt;0,"TB costs averted exceed included programme costs","Programme costs exceed TB costs averted")</f>
        <v>TB costs averted exceed included programme costs</v>
      </c>
    </row>
    <row r="7" spans="1:26">
      <c r="A7" t="s">
        <v>71</v>
      </c>
      <c r="B7" s="3">
        <f>Strategy_Summary!B5</f>
        <v>12</v>
      </c>
      <c r="C7" s="2">
        <f>B7*Inputs_Assumptions!$B$14</f>
        <v>228955.19999999998</v>
      </c>
      <c r="D7" s="2">
        <f>Strategy_Summary!C5</f>
        <v>-167628</v>
      </c>
      <c r="E7" s="2">
        <f>C7+D7</f>
        <v>61327.199999999983</v>
      </c>
      <c r="F7" s="2">
        <f>Inputs_Assumptions!$B$5</f>
        <v>450</v>
      </c>
      <c r="G7" s="2">
        <f>F7*Inputs_Assumptions!$B$10</f>
        <v>5106600</v>
      </c>
      <c r="H7" s="2">
        <f>E7-G7</f>
        <v>-5045272.8</v>
      </c>
      <c r="I7" s="5">
        <f>IF(Inputs_Assumptions!$B$12&gt;0,H7/Inputs_Assumptions!$B$12,"")</f>
        <v>-30483.705844821248</v>
      </c>
      <c r="J7" s="5">
        <f>IF(Inputs_Assumptions!$B$14&gt;0,E7/Inputs_Assumptions!$B$14,"")</f>
        <v>3.214281221828549</v>
      </c>
      <c r="K7" t="str">
        <f>IF(D7&lt;0,"Yes","No")</f>
        <v>Yes</v>
      </c>
      <c r="L7" t="str">
        <f>IF(D7&lt;0,"TB costs averted exceed included programme costs","Programme costs exceed TB costs averted")</f>
        <v>TB costs averted exceed included programme costs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"/>
  <sheetViews>
    <sheetView topLeftCell="A3" workbookViewId="0">
      <selection activeCell="F10" sqref="F10"/>
    </sheetView>
  </sheetViews>
  <sheetFormatPr defaultRowHeight="14.25"/>
  <cols>
    <col min="1" max="1" width="18" customWidth="1"/>
    <col min="2" max="2" width="32" customWidth="1"/>
    <col min="3" max="3" width="36" customWidth="1"/>
    <col min="4" max="4" width="8.125" customWidth="1"/>
    <col min="5" max="5" width="10.75" customWidth="1"/>
    <col min="6" max="6" width="11.125" customWidth="1"/>
    <col min="7" max="7" width="16.375" customWidth="1"/>
    <col min="8" max="8" width="44" customWidth="1"/>
  </cols>
  <sheetData>
    <row r="1" spans="1:26" ht="27.95" customHeight="1">
      <c r="A1" s="19" t="s">
        <v>86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30">
      <c r="A3" s="1" t="s">
        <v>87</v>
      </c>
      <c r="B3" s="1" t="s">
        <v>88</v>
      </c>
      <c r="C3" s="1" t="s">
        <v>89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56</v>
      </c>
    </row>
    <row r="4" spans="1:26">
      <c r="A4" t="s">
        <v>90</v>
      </c>
      <c r="B4" t="s">
        <v>91</v>
      </c>
      <c r="C4" t="s">
        <v>92</v>
      </c>
      <c r="D4" s="4">
        <f>Inputs_Assumptions!$B$3</f>
        <v>1500</v>
      </c>
      <c r="E4" s="4">
        <f>Inputs_Assumptions!$B$3</f>
        <v>1500</v>
      </c>
      <c r="F4" s="4">
        <f>Inputs_Assumptions!$B$3</f>
        <v>1500</v>
      </c>
      <c r="G4" s="4">
        <f>Inputs_Assumptions!$B$3</f>
        <v>1500</v>
      </c>
      <c r="H4" t="s">
        <v>93</v>
      </c>
    </row>
    <row r="5" spans="1:26">
      <c r="A5" t="s">
        <v>94</v>
      </c>
      <c r="B5" t="s">
        <v>95</v>
      </c>
      <c r="C5" t="s">
        <v>96</v>
      </c>
      <c r="D5" s="4">
        <f>Inputs_Assumptions!$B$5</f>
        <v>450</v>
      </c>
      <c r="E5" s="4">
        <f>Inputs_Assumptions!$B$5</f>
        <v>450</v>
      </c>
      <c r="F5" s="4">
        <f>Inputs_Assumptions!$B$5</f>
        <v>450</v>
      </c>
      <c r="G5" s="4">
        <f>Inputs_Assumptions!$B$5</f>
        <v>450</v>
      </c>
      <c r="H5" t="s">
        <v>97</v>
      </c>
    </row>
    <row r="6" spans="1:26">
      <c r="A6" t="s">
        <v>94</v>
      </c>
      <c r="B6" t="s">
        <v>98</v>
      </c>
      <c r="C6" t="s">
        <v>99</v>
      </c>
      <c r="D6" s="4">
        <f>D4-D5</f>
        <v>1050</v>
      </c>
      <c r="E6" s="4">
        <f>E4-E5</f>
        <v>1050</v>
      </c>
      <c r="F6" s="4">
        <f>F4-F5</f>
        <v>1050</v>
      </c>
      <c r="G6" s="4">
        <f>G4-G5</f>
        <v>1050</v>
      </c>
    </row>
    <row r="7" spans="1:26">
      <c r="A7" t="s">
        <v>100</v>
      </c>
      <c r="B7" t="s">
        <v>80</v>
      </c>
      <c r="C7" t="s">
        <v>101</v>
      </c>
      <c r="D7" s="2">
        <f>D5*Inputs_Assumptions!$B$10</f>
        <v>5106600</v>
      </c>
      <c r="E7" s="2">
        <f>E5*Inputs_Assumptions!$B$10</f>
        <v>5106600</v>
      </c>
      <c r="F7" s="2">
        <f>F5*Inputs_Assumptions!$B$10</f>
        <v>5106600</v>
      </c>
      <c r="G7" s="2">
        <f>G5*Inputs_Assumptions!$B$10</f>
        <v>5106600</v>
      </c>
      <c r="H7" t="s">
        <v>102</v>
      </c>
    </row>
    <row r="8" spans="1:26">
      <c r="A8" t="s">
        <v>103</v>
      </c>
      <c r="B8" t="s">
        <v>82</v>
      </c>
      <c r="C8" t="s">
        <v>104</v>
      </c>
      <c r="D8" s="4">
        <f>Cost_Saving_Check!I4</f>
        <v>-30513.70333133543</v>
      </c>
      <c r="E8" s="4">
        <f>Cost_Saving_Check!I5</f>
        <v>-30478.706666537772</v>
      </c>
      <c r="F8" s="4">
        <f>Cost_Saving_Check!I6</f>
        <v>-30478.706666537772</v>
      </c>
      <c r="G8" s="4">
        <f>Cost_Saving_Check!I7</f>
        <v>-30483.705844821248</v>
      </c>
      <c r="H8" t="s">
        <v>105</v>
      </c>
    </row>
    <row r="9" spans="1:26">
      <c r="A9" t="s">
        <v>103</v>
      </c>
      <c r="B9" t="s">
        <v>106</v>
      </c>
      <c r="C9" t="s">
        <v>107</v>
      </c>
      <c r="D9" s="4">
        <f>D8/D5</f>
        <v>-67.808229625189838</v>
      </c>
      <c r="E9" s="4">
        <f>E8/E5</f>
        <v>-67.730459258972829</v>
      </c>
      <c r="F9" s="4">
        <f>F8/F5</f>
        <v>-67.730459258972829</v>
      </c>
      <c r="G9" s="4">
        <f>G8/G5</f>
        <v>-67.741568544047212</v>
      </c>
      <c r="H9" t="s">
        <v>108</v>
      </c>
    </row>
    <row r="10" spans="1:26">
      <c r="A10" t="s">
        <v>100</v>
      </c>
      <c r="B10" t="s">
        <v>109</v>
      </c>
      <c r="C10" t="s">
        <v>110</v>
      </c>
      <c r="D10" s="2">
        <f>Cost_Saving_Check!H4</f>
        <v>-5050237.5999999996</v>
      </c>
      <c r="E10" s="2">
        <f>Cost_Saving_Check!H5</f>
        <v>-5044445.4000000004</v>
      </c>
      <c r="F10" s="2">
        <f>Cost_Saving_Check!H6</f>
        <v>-5044445.4000000004</v>
      </c>
      <c r="G10" s="2">
        <f>Cost_Saving_Check!H7</f>
        <v>-5045272.8</v>
      </c>
      <c r="H10" t="s">
        <v>111</v>
      </c>
    </row>
    <row r="11" spans="1:26">
      <c r="A11" t="s">
        <v>112</v>
      </c>
      <c r="B11" t="s">
        <v>113</v>
      </c>
      <c r="C11" t="s">
        <v>114</v>
      </c>
      <c r="D11" s="4">
        <f>Strategy_Summary!B2</f>
        <v>4</v>
      </c>
      <c r="E11" s="4">
        <f>Strategy_Summary!B3</f>
        <v>11</v>
      </c>
      <c r="F11" s="4">
        <f>Strategy_Summary!B4</f>
        <v>11</v>
      </c>
      <c r="G11" s="4">
        <f>Strategy_Summary!B5</f>
        <v>12</v>
      </c>
    </row>
    <row r="12" spans="1:26">
      <c r="A12" t="s">
        <v>112</v>
      </c>
      <c r="B12" t="s">
        <v>61</v>
      </c>
      <c r="C12" t="s">
        <v>114</v>
      </c>
      <c r="D12" s="4">
        <f>Strategy_Summary!D2</f>
        <v>6.5860000000000003</v>
      </c>
      <c r="E12" s="4">
        <f>Strategy_Summary!D3</f>
        <v>18.111000000000001</v>
      </c>
      <c r="F12" s="4">
        <f>Strategy_Summary!D4</f>
        <v>18.111000000000001</v>
      </c>
      <c r="G12" s="4">
        <f>Strategy_Summary!D5</f>
        <v>19.757999999999999</v>
      </c>
    </row>
    <row r="13" spans="1:26">
      <c r="A13" t="s">
        <v>112</v>
      </c>
      <c r="B13" t="s">
        <v>62</v>
      </c>
      <c r="C13" t="s">
        <v>114</v>
      </c>
      <c r="D13" s="2">
        <f>Strategy_Summary!E2</f>
        <v>0.11</v>
      </c>
      <c r="E13" s="2">
        <f>Strategy_Summary!E3</f>
        <v>0.30299999999999999</v>
      </c>
      <c r="F13" s="2">
        <f>Strategy_Summary!E4</f>
        <v>0.30299999999999999</v>
      </c>
      <c r="G13" s="2">
        <f>Strategy_Summary!E5</f>
        <v>0.33</v>
      </c>
    </row>
    <row r="14" spans="1:26">
      <c r="A14" t="s">
        <v>100</v>
      </c>
      <c r="B14" t="s">
        <v>115</v>
      </c>
      <c r="C14" t="s">
        <v>116</v>
      </c>
      <c r="D14" s="2">
        <f>D11*Inputs_Assumptions!$B$14</f>
        <v>76318.399999999994</v>
      </c>
      <c r="E14" s="2">
        <f>E11*Inputs_Assumptions!$B$14</f>
        <v>209875.59999999998</v>
      </c>
      <c r="F14" s="2">
        <f>F11*Inputs_Assumptions!$B$14</f>
        <v>209875.59999999998</v>
      </c>
      <c r="G14" s="2">
        <f>G11*Inputs_Assumptions!$B$14</f>
        <v>228955.19999999998</v>
      </c>
    </row>
    <row r="15" spans="1:26">
      <c r="A15" t="s">
        <v>100</v>
      </c>
      <c r="B15" t="s">
        <v>117</v>
      </c>
      <c r="C15" t="s">
        <v>118</v>
      </c>
      <c r="D15" s="2">
        <f>D7+D10+Inputs_Assumptions!$B$15+Inputs_Assumptions!$B$16</f>
        <v>56362.400000000373</v>
      </c>
      <c r="E15" s="2">
        <f>E7+E10+Inputs_Assumptions!$B$15+Inputs_Assumptions!$B$16</f>
        <v>62154.599999999627</v>
      </c>
      <c r="F15" s="2">
        <f>F7+F10+Inputs_Assumptions!$B$15+Inputs_Assumptions!$B$16</f>
        <v>62154.599999999627</v>
      </c>
      <c r="G15" s="2">
        <f>G7+G10+Inputs_Assumptions!$B$15+Inputs_Assumptions!$B$16</f>
        <v>61327.200000000186</v>
      </c>
    </row>
    <row r="16" spans="1:26">
      <c r="A16" t="s">
        <v>100</v>
      </c>
      <c r="B16" t="s">
        <v>60</v>
      </c>
      <c r="C16" t="s">
        <v>119</v>
      </c>
      <c r="D16" s="2">
        <f>D15-D14</f>
        <v>-19955.999999999622</v>
      </c>
      <c r="E16" s="2">
        <f>E15-E14</f>
        <v>-147721.00000000035</v>
      </c>
      <c r="F16" s="2">
        <f>F15-F14</f>
        <v>-147721.00000000035</v>
      </c>
      <c r="G16" s="2">
        <f>G15-G14</f>
        <v>-167627.9999999998</v>
      </c>
      <c r="H16" t="s">
        <v>120</v>
      </c>
    </row>
    <row r="17" spans="1:8">
      <c r="A17" t="s">
        <v>121</v>
      </c>
      <c r="B17" t="s">
        <v>83</v>
      </c>
      <c r="C17" t="s">
        <v>122</v>
      </c>
      <c r="D17" s="5">
        <f>D15/Inputs_Assumptions!$B$14</f>
        <v>2.9540661229795373</v>
      </c>
      <c r="E17" s="5">
        <f>E15/Inputs_Assumptions!$B$14</f>
        <v>3.2576469108366859</v>
      </c>
      <c r="F17" s="5">
        <f>F15/Inputs_Assumptions!$B$14</f>
        <v>3.2576469108366859</v>
      </c>
      <c r="G17" s="5">
        <f>G15/Inputs_Assumptions!$B$14</f>
        <v>3.2142812218285597</v>
      </c>
      <c r="H17" t="s">
        <v>123</v>
      </c>
    </row>
    <row r="18" spans="1:8">
      <c r="A18" t="s">
        <v>124</v>
      </c>
      <c r="B18" t="s">
        <v>63</v>
      </c>
      <c r="C18" t="s">
        <v>125</v>
      </c>
      <c r="D18" s="2">
        <f>D16/D12</f>
        <v>-3030.0637716367478</v>
      </c>
      <c r="E18" s="2">
        <f>E16/E12</f>
        <v>-8156.4242725415679</v>
      </c>
      <c r="F18" s="2">
        <f>F16/F12</f>
        <v>-8156.4242725415679</v>
      </c>
      <c r="G18" s="2">
        <f>G16/G12</f>
        <v>-8484.057090798653</v>
      </c>
    </row>
    <row r="19" spans="1:8">
      <c r="A19" t="s">
        <v>124</v>
      </c>
      <c r="B19" t="s">
        <v>64</v>
      </c>
      <c r="C19" t="s">
        <v>126</v>
      </c>
      <c r="D19" s="2">
        <f>D16/D13</f>
        <v>-181418.18181817839</v>
      </c>
      <c r="E19" s="2">
        <f>E16/E13</f>
        <v>-487528.05280528171</v>
      </c>
      <c r="F19" s="2">
        <f>F16/F13</f>
        <v>-487528.05280528171</v>
      </c>
      <c r="G19" s="2">
        <f>G16/G13</f>
        <v>-507963.63636363571</v>
      </c>
    </row>
    <row r="20" spans="1:8">
      <c r="D20" s="4"/>
      <c r="E20" s="4"/>
      <c r="F20" s="4"/>
      <c r="G2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"/>
  <sheetViews>
    <sheetView workbookViewId="0">
      <selection activeCell="C10" sqref="C10"/>
    </sheetView>
  </sheetViews>
  <sheetFormatPr defaultRowHeight="14.25"/>
  <cols>
    <col min="1" max="1" width="22" customWidth="1"/>
    <col min="2" max="14" width="16" customWidth="1"/>
  </cols>
  <sheetData>
    <row r="1" spans="1:14" ht="45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127</v>
      </c>
      <c r="G1" s="9" t="s">
        <v>128</v>
      </c>
      <c r="H1" s="9" t="s">
        <v>129</v>
      </c>
      <c r="I1" s="9" t="s">
        <v>66</v>
      </c>
      <c r="J1" s="9" t="s">
        <v>67</v>
      </c>
      <c r="K1" s="9" t="s">
        <v>117</v>
      </c>
      <c r="L1" s="9" t="s">
        <v>115</v>
      </c>
      <c r="M1" s="9" t="s">
        <v>83</v>
      </c>
      <c r="N1" s="9" t="s">
        <v>130</v>
      </c>
    </row>
    <row r="2" spans="1:14">
      <c r="A2" s="7" t="s">
        <v>68</v>
      </c>
      <c r="B2" s="12">
        <v>4</v>
      </c>
      <c r="C2" s="14">
        <v>-19956</v>
      </c>
      <c r="D2" s="10">
        <v>6.5860000000000003</v>
      </c>
      <c r="E2" s="10">
        <v>0.11</v>
      </c>
      <c r="F2" s="14">
        <v>-3030</v>
      </c>
      <c r="G2" s="14">
        <v>-181242</v>
      </c>
      <c r="H2" s="14">
        <v>-4989</v>
      </c>
      <c r="I2" s="14">
        <v>24911</v>
      </c>
      <c r="J2" s="14">
        <v>28214</v>
      </c>
      <c r="K2" s="14">
        <v>56362</v>
      </c>
      <c r="L2" s="14">
        <v>76318.399999999994</v>
      </c>
      <c r="M2" s="16">
        <v>2.95</v>
      </c>
      <c r="N2" s="16">
        <v>1.05</v>
      </c>
    </row>
    <row r="3" spans="1:14" ht="15">
      <c r="A3" s="1" t="s">
        <v>69</v>
      </c>
      <c r="B3" s="13">
        <v>11</v>
      </c>
      <c r="C3" s="15">
        <v>-147721</v>
      </c>
      <c r="D3" s="11">
        <v>18.111000000000001</v>
      </c>
      <c r="E3" s="11">
        <v>0.30299999999999999</v>
      </c>
      <c r="F3" s="15">
        <v>-8156</v>
      </c>
      <c r="G3" s="15">
        <v>-487891</v>
      </c>
      <c r="H3" s="15">
        <v>-13429</v>
      </c>
      <c r="I3" s="14">
        <v>161345</v>
      </c>
      <c r="J3" s="14">
        <v>170429</v>
      </c>
      <c r="K3" s="14">
        <v>62155</v>
      </c>
      <c r="L3" s="14">
        <v>209875.6</v>
      </c>
      <c r="M3" s="16">
        <v>3.26</v>
      </c>
      <c r="N3" s="16">
        <v>7.74</v>
      </c>
    </row>
    <row r="4" spans="1:14">
      <c r="A4" s="7" t="s">
        <v>70</v>
      </c>
      <c r="B4" s="12">
        <v>11</v>
      </c>
      <c r="C4" s="14">
        <v>-147721</v>
      </c>
      <c r="D4" s="10">
        <v>18.111000000000001</v>
      </c>
      <c r="E4" s="10">
        <v>0.30299999999999999</v>
      </c>
      <c r="F4" s="14">
        <v>-8156</v>
      </c>
      <c r="G4" s="14">
        <v>-487891</v>
      </c>
      <c r="H4" s="14">
        <v>-13429</v>
      </c>
      <c r="I4" s="14">
        <v>161345</v>
      </c>
      <c r="J4" s="14">
        <v>170429</v>
      </c>
      <c r="K4" s="14">
        <v>62155</v>
      </c>
      <c r="L4" s="14">
        <v>209875.6</v>
      </c>
      <c r="M4" s="16">
        <v>3.26</v>
      </c>
      <c r="N4" s="16">
        <v>7.74</v>
      </c>
    </row>
    <row r="5" spans="1:14">
      <c r="A5" s="7" t="s">
        <v>71</v>
      </c>
      <c r="B5" s="12">
        <v>12</v>
      </c>
      <c r="C5" s="14">
        <v>-167628</v>
      </c>
      <c r="D5" s="10">
        <v>19.757999999999999</v>
      </c>
      <c r="E5" s="10">
        <v>0.33</v>
      </c>
      <c r="F5" s="14">
        <v>-8484</v>
      </c>
      <c r="G5" s="14">
        <v>-507465</v>
      </c>
      <c r="H5" s="14">
        <v>-13969</v>
      </c>
      <c r="I5" s="14">
        <v>182492</v>
      </c>
      <c r="J5" s="14">
        <v>192402</v>
      </c>
      <c r="K5" s="14">
        <v>61327</v>
      </c>
      <c r="L5" s="14">
        <v>228955.2</v>
      </c>
      <c r="M5" s="16">
        <v>3.21</v>
      </c>
      <c r="N5" s="16">
        <v>8.7899999999999991</v>
      </c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30">
      <c r="A8" s="9" t="s">
        <v>131</v>
      </c>
      <c r="B8" s="9" t="s">
        <v>58</v>
      </c>
      <c r="C8" s="9" t="s">
        <v>61</v>
      </c>
      <c r="D8" s="9" t="s">
        <v>62</v>
      </c>
      <c r="E8" s="9" t="s">
        <v>60</v>
      </c>
      <c r="F8" s="9" t="s">
        <v>63</v>
      </c>
      <c r="G8" s="9" t="s">
        <v>64</v>
      </c>
      <c r="H8" s="9" t="s">
        <v>132</v>
      </c>
      <c r="I8" s="7"/>
      <c r="J8" s="7"/>
      <c r="K8" s="7"/>
      <c r="L8" s="7"/>
      <c r="M8" s="7"/>
      <c r="N8" s="7"/>
    </row>
    <row r="9" spans="1:14" ht="42.75">
      <c r="A9" s="7" t="s">
        <v>133</v>
      </c>
      <c r="B9" s="7" t="s">
        <v>71</v>
      </c>
      <c r="C9" s="7">
        <v>19.757999999999999</v>
      </c>
      <c r="D9" s="7">
        <v>0.33</v>
      </c>
      <c r="E9" s="7">
        <v>-167628</v>
      </c>
      <c r="F9" s="7">
        <v>-8484</v>
      </c>
      <c r="G9" s="7">
        <v>-507465</v>
      </c>
      <c r="H9" s="7" t="s">
        <v>134</v>
      </c>
      <c r="I9" s="7"/>
      <c r="J9" s="7"/>
      <c r="K9" s="7"/>
      <c r="L9" s="7"/>
      <c r="M9" s="7"/>
      <c r="N9" s="7"/>
    </row>
    <row r="10" spans="1:14" ht="57">
      <c r="A10" s="7" t="s">
        <v>135</v>
      </c>
      <c r="B10" s="7" t="s">
        <v>71</v>
      </c>
      <c r="C10" s="7">
        <v>19.757999999999999</v>
      </c>
      <c r="D10" s="7"/>
      <c r="E10" s="7">
        <v>-167628</v>
      </c>
      <c r="F10" s="7">
        <v>-8484</v>
      </c>
      <c r="G10" s="7"/>
      <c r="H10" s="7" t="s">
        <v>136</v>
      </c>
      <c r="I10" s="7"/>
      <c r="J10" s="7"/>
      <c r="K10" s="7"/>
      <c r="L10" s="7"/>
      <c r="M10" s="7"/>
      <c r="N10" s="7"/>
    </row>
    <row r="11" spans="1:14" ht="42.75">
      <c r="A11" s="7" t="s">
        <v>137</v>
      </c>
      <c r="B11" s="7" t="s">
        <v>71</v>
      </c>
      <c r="C11" s="7">
        <v>1.998</v>
      </c>
      <c r="D11" s="7">
        <v>0.33</v>
      </c>
      <c r="E11" s="7">
        <v>-167628</v>
      </c>
      <c r="F11" s="7">
        <v>-83900</v>
      </c>
      <c r="G11" s="7">
        <v>-507465</v>
      </c>
      <c r="H11" s="7" t="s">
        <v>138</v>
      </c>
      <c r="I11" s="7"/>
      <c r="J11" s="7"/>
      <c r="K11" s="7"/>
      <c r="L11" s="7"/>
      <c r="M11" s="7"/>
      <c r="N11" s="7"/>
    </row>
    <row r="12" spans="1:14" ht="42.75">
      <c r="A12" s="7" t="s">
        <v>139</v>
      </c>
      <c r="B12" s="7" t="s">
        <v>71</v>
      </c>
      <c r="C12" s="7">
        <v>9.1020000000000003</v>
      </c>
      <c r="D12" s="7">
        <v>0.33</v>
      </c>
      <c r="E12" s="7">
        <v>-167628</v>
      </c>
      <c r="F12" s="7">
        <v>-18416</v>
      </c>
      <c r="G12" s="7">
        <v>-507465</v>
      </c>
      <c r="H12" s="7" t="s">
        <v>140</v>
      </c>
      <c r="I12" s="7"/>
      <c r="J12" s="7"/>
      <c r="K12" s="7"/>
      <c r="L12" s="7"/>
      <c r="M12" s="7"/>
      <c r="N12" s="7"/>
    </row>
    <row r="13" spans="1:14" ht="28.5">
      <c r="A13" s="7" t="s">
        <v>141</v>
      </c>
      <c r="B13" s="7" t="s">
        <v>71</v>
      </c>
      <c r="C13" s="7">
        <v>30.414000000000001</v>
      </c>
      <c r="D13" s="7">
        <v>0.33</v>
      </c>
      <c r="E13" s="7">
        <v>-167628</v>
      </c>
      <c r="F13" s="7">
        <v>-5512</v>
      </c>
      <c r="G13" s="7">
        <v>-507465</v>
      </c>
      <c r="H13" s="7" t="s">
        <v>142</v>
      </c>
      <c r="I13" s="7"/>
      <c r="J13" s="7"/>
      <c r="K13" s="7"/>
      <c r="L13" s="7"/>
      <c r="M13" s="7"/>
      <c r="N13" s="7"/>
    </row>
    <row r="14" spans="1:14" ht="28.5">
      <c r="A14" s="7" t="s">
        <v>143</v>
      </c>
      <c r="B14" s="7" t="s">
        <v>71</v>
      </c>
      <c r="C14" s="7">
        <v>10.878</v>
      </c>
      <c r="D14" s="7">
        <v>0.33</v>
      </c>
      <c r="E14" s="7">
        <v>-167628</v>
      </c>
      <c r="F14" s="7">
        <v>-15410</v>
      </c>
      <c r="G14" s="7">
        <v>-507465</v>
      </c>
      <c r="H14" s="7" t="s">
        <v>144</v>
      </c>
      <c r="I14" s="7"/>
      <c r="J14" s="7"/>
      <c r="K14" s="7"/>
      <c r="L14" s="7"/>
      <c r="M14" s="7"/>
      <c r="N14" s="7"/>
    </row>
    <row r="15" spans="1:14" ht="28.5">
      <c r="A15" s="7" t="s">
        <v>145</v>
      </c>
      <c r="B15" s="7" t="s">
        <v>71</v>
      </c>
      <c r="C15" s="7">
        <v>28.638000000000002</v>
      </c>
      <c r="D15" s="7">
        <v>0.33</v>
      </c>
      <c r="E15" s="7">
        <v>-167628</v>
      </c>
      <c r="F15" s="7">
        <v>-5853</v>
      </c>
      <c r="G15" s="7">
        <v>-507465</v>
      </c>
      <c r="H15" s="7" t="s">
        <v>142</v>
      </c>
      <c r="I15" s="7"/>
      <c r="J15" s="7"/>
      <c r="K15" s="7"/>
      <c r="L15" s="7"/>
      <c r="M15" s="7"/>
      <c r="N15" s="7"/>
    </row>
    <row r="17" spans="1:1" ht="15">
      <c r="A17" s="17" t="s">
        <v>56</v>
      </c>
    </row>
    <row r="18" spans="1:1">
      <c r="A18" t="s">
        <v>146</v>
      </c>
    </row>
    <row r="19" spans="1:1">
      <c r="A19" t="s">
        <v>147</v>
      </c>
    </row>
    <row r="20" spans="1:1">
      <c r="A20" t="s">
        <v>148</v>
      </c>
    </row>
    <row r="21" spans="1:1">
      <c r="A21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2"/>
  <sheetViews>
    <sheetView tabSelected="1" workbookViewId="0"/>
  </sheetViews>
  <sheetFormatPr defaultRowHeight="14.25"/>
  <cols>
    <col min="1" max="1" width="80" customWidth="1"/>
  </cols>
  <sheetData>
    <row r="1" spans="1:21" ht="18">
      <c r="A1" s="18" t="s">
        <v>150</v>
      </c>
    </row>
    <row r="2" spans="1:21" ht="28.5">
      <c r="A2" s="7" t="s">
        <v>151</v>
      </c>
    </row>
    <row r="3" spans="1:21" ht="28.5">
      <c r="A3" s="7" t="s">
        <v>152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62" spans="1:11" ht="28.5">
      <c r="A62" s="8" t="s">
        <v>153</v>
      </c>
      <c r="B62" s="8"/>
      <c r="C62" s="8"/>
      <c r="D62" s="8"/>
      <c r="E62" s="8"/>
      <c r="F62" s="8"/>
      <c r="G62" s="8"/>
      <c r="H62" s="8"/>
      <c r="I62" s="8"/>
      <c r="J62" s="8"/>
      <c r="K62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Inputs_Assumptions</vt:lpstr>
      <vt:lpstr>Strategy_Summary</vt:lpstr>
      <vt:lpstr>Cost_Saving_Check</vt:lpstr>
      <vt:lpstr>Decision_Tree</vt:lpstr>
      <vt:lpstr>Chart_Data</vt:lpstr>
      <vt:lpstr>Editable_Charts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McBryde</cp:lastModifiedBy>
  <dcterms:created xsi:type="dcterms:W3CDTF">2026-06-01T06:57:47Z</dcterms:created>
  <dcterms:modified xsi:type="dcterms:W3CDTF">2026-06-03T01:39:20Z</dcterms:modified>
</cp:coreProperties>
</file>