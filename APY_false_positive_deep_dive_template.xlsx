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3cf66a00b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5c731b166d242b0"/>
    <x:sheet xmlns:r="http://schemas.openxmlformats.org/officeDocument/2006/relationships" name="Run_Plan" sheetId="2" r:id="Rf2a1f5ea450e442a"/>
    <x:sheet xmlns:r="http://schemas.openxmlformats.org/officeDocument/2006/relationships" name="False_Positive_Deep_Dive" sheetId="3" r:id="Ra706306f211246c8"/>
    <x:sheet xmlns:r="http://schemas.openxmlformats.org/officeDocument/2006/relationships" name="Charts_Data" sheetId="4" r:id="R968a48cc86f7401d"/>
    <x:sheet xmlns:r="http://schemas.openxmlformats.org/officeDocument/2006/relationships" name="Definitions" sheetId="5" r:id="R954a77477d71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%"/>
    <x:numFmt numFmtId="202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C5D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b08cb946f4d1a" /><Relationship Type="http://schemas.openxmlformats.org/officeDocument/2006/relationships/theme" Target="/xl/theme/theme1.xml" Id="R5b15593860c04d4f" /><Relationship Type="http://schemas.openxmlformats.org/officeDocument/2006/relationships/sharedStrings" Target="/xl/sharedStrings.xml" Id="R5e384a3cb7c44ee3" /><Relationship Type="http://schemas.openxmlformats.org/officeDocument/2006/relationships/worksheet" Target="/xl/worksheets/sheet1.xml" Id="R95c731b166d242b0" /><Relationship Type="http://schemas.openxmlformats.org/officeDocument/2006/relationships/worksheet" Target="/xl/worksheets/sheet2.xml" Id="Rf2a1f5ea450e442a" /><Relationship Type="http://schemas.openxmlformats.org/officeDocument/2006/relationships/worksheet" Target="/xl/worksheets/sheet3.xml" Id="Ra706306f211246c8" /><Relationship Type="http://schemas.openxmlformats.org/officeDocument/2006/relationships/worksheet" Target="/xl/worksheets/sheet4.xml" Id="R968a48cc86f7401d" /><Relationship Type="http://schemas.openxmlformats.org/officeDocument/2006/relationships/worksheet" Target="/xl/worksheets/sheet5.xml" Id="R954a77477d714c39" /></Relationships>
</file>

<file path=xl/tables/table1.xml><?xml version="1.0" encoding="utf-8"?>
<x:table xmlns:x="http://schemas.openxmlformats.org/spreadsheetml/2006/main" id="1" name="RunPlanTable" displayName="RunPlanTable" ref="A1:L41" headerRowCount="1">
  <x:tableColumns count="12">
    <x:tableColumn id="1" name="scenario_id"/>
    <x:tableColumn id="2" name="screeningStrategy"/>
    <x:tableColumn id="3" name="screenCoverage"/>
    <x:tableColumn id="4" name="testType"/>
    <x:tableColumn id="5" name="regimen"/>
    <x:tableColumn id="6" name="N"/>
    <x:tableColumn id="7" name="nReps"/>
    <x:tableColumn id="8" name="seed"/>
    <x:tableColumn id="9" name="screenWindow"/>
    <x:tableColumn id="10" name="followHorizon"/>
    <x:tableColumn id="11" name="status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alsePositiveDeepDiveTable" displayName="FalsePositiveDeepDiveTable" ref="A1:AB41" headerRowCount="1">
  <x:tableColumns count="28">
    <x:tableColumn id="1" name="scenario_id"/>
    <x:tableColumn id="2" name="screeningStrategy"/>
    <x:tableColumn id="3" name="screenCoverage"/>
    <x:tableColumn id="4" name="testType"/>
    <x:tableColumn id="5" name="regimen"/>
    <x:tableColumn id="6" name="N"/>
    <x:tableColumn id="7" name="nReps"/>
    <x:tableColumn id="8" name="seed"/>
    <x:tableColumn id="9" name="nScreened"/>
    <x:tableColumn id="10" name="nTestPositiveNonActive"/>
    <x:tableColumn id="11" name="nFalsePositiveTests"/>
    <x:tableColumn id="12" name="nFalsePositiveTreated"/>
    <x:tableColumn id="13" name="nTotalCoursesStarted"/>
    <x:tableColumn id="14" name="nIGRApos_or_TestPositive"/>
    <x:tableColumn id="15" name="nScreenedBCG"/>
    <x:tableColumn id="16" name="nFalsePositiveTestsBCG"/>
    <x:tableColumn id="17" name="nFalsePositiveTestsNoBCG"/>
    <x:tableColumn id="18" name="nTruePositiveTests"/>
    <x:tableColumn id="19" name="nTruePositiveTreated"/>
    <x:tableColumn id="20" name="testPositivityRate"/>
    <x:tableColumn id="21" name="falsePositiveTestRate"/>
    <x:tableColumn id="22" name="truePositiveTestRate"/>
    <x:tableColumn id="23" name="PPV_trueAmongTestPositive"/>
    <x:tableColumn id="24" name="falsePositiveShareAmongTestPositive"/>
    <x:tableColumn id="25" name="falsePositiveTreatedShareAmongCoursesStarted"/>
    <x:tableColumn id="26" name="falsePositiveTestsPerTruePositiveTest"/>
    <x:tableColumn id="27" name="falsePositiveTreatedPerTruePositiveTreated"/>
    <x:tableColumn id="2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hartCountsTable" displayName="ChartCountsTable" ref="A3:F43" headerRowCount="1">
  <x:tableColumns count="6">
    <x:tableColumn id="1" name="scenario_id"/>
    <x:tableColumn id="2" name="Strategy"/>
    <x:tableColumn id="3" name="Coverage"/>
    <x:tableColumn id="4" name="nScreened"/>
    <x:tableColumn id="5" name="False positive tests"/>
    <x:tableColumn id="6" name="True positive tests"/>
  </x:tableColumns>
  <x:tableStyleInfo name="TableStyleMedium2" showRowStripes="1"/>
</x:table>
</file>

<file path=xl/tables/table4.xml><?xml version="1.0" encoding="utf-8"?>
<x:table xmlns:x="http://schemas.openxmlformats.org/spreadsheetml/2006/main" id="4" name="ChartRatesTable" displayName="ChartRatesTable" ref="H3:M43" headerRowCount="1">
  <x:tableColumns count="6">
    <x:tableColumn id="1" name="scenario_id"/>
    <x:tableColumn id="2" name="Strategy"/>
    <x:tableColumn id="3" name="Coverage"/>
    <x:tableColumn id="4" name="PPV"/>
    <x:tableColumn id="5" name="False positive share"/>
    <x:tableColumn id="6" name="FP treated share"/>
  </x:tableColumns>
  <x:tableStyleInfo name="TableStyleMedium2" showRowStripes="1"/>
</x:table>
</file>

<file path=xl/tables/table5.xml><?xml version="1.0" encoding="utf-8"?>
<x:table xmlns:x="http://schemas.openxmlformats.org/spreadsheetml/2006/main" id="5" name="DefinitionsTable" displayName="DefinitionsTable" ref="A1:C16" headerRowCount="1">
  <x:tableColumns count="3">
    <x:tableColumn id="1" name="Term"/>
    <x:tableColumn id="2" name="Definition / formula"/>
    <x:tableColumn id="3" name="Typical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6d40c24ed64c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7bcb72e4fb40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b531eebcf34d41" /><Relationship Type="http://schemas.openxmlformats.org/officeDocument/2006/relationships/table" Target="/xl/tables/table4.xml" Id="R98372584a8514f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eb163576bf94e5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5" hidden="0" customWidth="1"/>
  </x:cols>
  <x:sheetData>
    <x:row r="1">
      <x:c r="A1" s="30" t="str">
        <x:v>APY false-positive deep dive workbook template</x:v>
      </x:c>
      <x:c r="B1" s="30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</x:row>
    <x:row r="2">
      <x:c r="A2" s="8" t="str">
        <x:v>Purpose</x:v>
      </x:c>
      <x:c r="B2" s="12" t="str">
        <x:v>Use this workbook to inspect false-positive and true-positive outcomes across screening coverage levels and targeting strategies. Codex/Python APY should populate the raw output columns; formula columns then calculate PPV, false-positive rates, and treatment-level false-positive burden.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</x:row>
    <x:row r="3">
      <x:c r="A3" s="8" t="str">
        <x:v>Primary output needed from APY model</x:v>
      </x:c>
      <x:c r="B3" s="12" t="str">
        <x:v>For each strategy × coverage level, run the Python APY model and export median summary fields including nScreened, nTestPositiveNonActive, nFalsePositiveTests, nFalsePositiveTreated, and nTotalCoursesStarted.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</x:row>
    <x:row r="4">
      <x:c r="A4" s="8" t="str">
        <x:v>Key caution</x:v>
      </x:c>
      <x:c r="B4" s="12" t="str">
        <x:v>Distinguish test-level false positives (uninfected people with a positive test) from treatment-level false positives (false positives who start preventive treatment).</x:v>
      </x:c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</x:row>
    <x:row r="5">
      <x:c r="A5" s="8" t="str">
        <x:v>Recommended coverage grid</x:v>
      </x:c>
      <x:c r="B5" s="12" t="str">
        <x:v>0.05, 0.10, 0.15, 0.20, 0.30, 0.40, 0.50, 0.60, 0.80, 1.00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</x:row>
    <x:row r="6">
      <x:c r="A6" s="8" t="str">
        <x:v>Recommended strategies</x:v>
      </x:c>
      <x:c r="B6" s="12" t="str">
        <x:v>random, ltbi, cure, prevent</x:v>
      </x:c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</x:row>
    <x:row r="7">
      <x:c r="A7" s="8" t="str">
        <x:v>How to use</x:v>
      </x:c>
      <x:c r="B7" s="12" t="str">
        <x:v>Paste or programmatically write APY model outputs into the raw columns of False_Positive_Deep_Dive. Formula columns update automatically.</x:v>
      </x:c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</x:row>
    <x:row r="8">
      <x:c r="A8" s="8" t="str">
        <x:v>Current status</x:v>
      </x:c>
      <x:c r="B8" s="12" t="str">
        <x:v>This workbook is a template. It does not run APY and contains no model-generated results.</x:v>
      </x:c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</x:row>
    <x:row r="9">
      <x:c r="A9" s="8" t="str">
        <x:v>Test-type note</x:v>
      </x:c>
      <x:c r="B9" s="12" t="str">
        <x:v>For TST false-positive analysis, populate the BCG-specific columns. For IGRA, those may be blank.</x:v>
      </x:c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</x:row>
    <x:row r="10">
      <x:c r="A10" s="8" t="str">
        <x:v>Output interpretation</x:v>
      </x:c>
      <x:c r="B10" s="12" t="str">
        <x:v>True positive is defined as test-positive LTBI/no-active-TB at screening. It is not a clinical diagnosis outside the simulated model.</x:v>
      </x:c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</x:row>
    <x:row r="11">
      <x:c r="A11" s="8" t="str">
        <x:v>Suggested next step</x:v>
      </x:c>
      <x:c r="B11" s="12" t="str">
        <x:v>Use Codex to run the Python APY model over the Run_Plan grid and write the resulting medians into this workbook.</x:v>
      </x:c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</x:row>
    <x:row r="12">
      <x:c r="A12" s="8" t="str">
        <x:v>Version</x:v>
      </x:c>
      <x:c r="B12" s="12" t="str">
        <x:v>Template v1</x:v>
      </x:c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.130000114440918" hidden="0" customWidth="1"/>
    <x:col min="3" max="3" width="12.5" hidden="0" customWidth="1"/>
    <x:col min="4" max="4" width="7.130000114440918" hidden="0" customWidth="1"/>
    <x:col min="5" max="5" width="6.880000114440918" hidden="0" customWidth="1"/>
    <x:col min="6" max="6" width="4.25" hidden="0" customWidth="1"/>
    <x:col min="7" max="7" width="5.130000114440918" hidden="0" customWidth="1"/>
    <x:col min="8" max="8" width="4.130000114440918" hidden="0" customWidth="1"/>
    <x:col min="9" max="9" width="12" hidden="0" customWidth="1"/>
    <x:col min="10" max="10" width="11.25" hidden="0" customWidth="1"/>
    <x:col min="11" max="11" width="6.630000114440918" hidden="0" customWidth="1"/>
    <x:col min="12" max="12" width="4.75" hidden="0" customWidth="1"/>
  </x:cols>
  <x:sheetData>
    <x:row r="1">
      <x:c r="A1" s="18" t="str">
        <x:v>scenario_id</x:v>
      </x:c>
      <x:c r="B1" s="18" t="str">
        <x:v>screeningStrategy</x:v>
      </x:c>
      <x:c r="C1" s="18" t="str">
        <x:v>screenCoverage</x:v>
      </x:c>
      <x:c r="D1" s="18" t="str">
        <x:v>testType</x:v>
      </x:c>
      <x:c r="E1" s="18" t="str">
        <x:v>regimen</x:v>
      </x:c>
      <x:c r="F1" s="18" t="str">
        <x:v>N</x:v>
      </x:c>
      <x:c r="G1" s="18" t="str">
        <x:v>nReps</x:v>
      </x:c>
      <x:c r="H1" s="18" t="str">
        <x:v>seed</x:v>
      </x:c>
      <x:c r="I1" s="18" t="str">
        <x:v>screenWindow</x:v>
      </x:c>
      <x:c r="J1" s="18" t="str">
        <x:v>followHorizon</x:v>
      </x:c>
      <x:c r="K1" s="18" t="str">
        <x:v>status</x:v>
      </x:c>
      <x:c r="L1" s="18" t="str">
        <x:v>notes</x:v>
      </x:c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</x:row>
    <x:row r="2">
      <x:c r="A2" s="12" t="str">
        <x:v>random_igra_3hp_cov005</x:v>
      </x:c>
      <x:c r="B2" s="12" t="str">
        <x:v>random</x:v>
      </x:c>
      <x:c r="C2" s="32" t="n">
        <x:v>0.05</x:v>
      </x:c>
      <x:c r="D2" s="12" t="str">
        <x:v>IGRA</x:v>
      </x:c>
      <x:c r="E2" s="12" t="str">
        <x:v>3HP</x:v>
      </x:c>
      <x:c r="F2" s="12" t="n">
        <x:v>1500</x:v>
      </x:c>
      <x:c r="G2" s="12" t="n">
        <x:v>2000</x:v>
      </x:c>
      <x:c r="H2" s="12" t="n">
        <x:v>1</x:v>
      </x:c>
      <x:c r="I2" s="12" t="n">
        <x:v>2</x:v>
      </x:c>
      <x:c r="J2" s="12" t="n">
        <x:v>20</x:v>
      </x:c>
      <x:c r="K2" s="12" t="str">
        <x:v>pending</x:v>
      </x:c>
      <x:c r="L2" s="12" t="str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</x:row>
    <x:row r="3">
      <x:c r="A3" s="12" t="str">
        <x:v>random_igra_3hp_cov010</x:v>
      </x:c>
      <x:c r="B3" s="12" t="str">
        <x:v>random</x:v>
      </x:c>
      <x:c r="C3" s="32" t="n">
        <x:v>0.1</x:v>
      </x:c>
      <x:c r="D3" s="12" t="str">
        <x:v>IGRA</x:v>
      </x:c>
      <x:c r="E3" s="12" t="str">
        <x:v>3HP</x:v>
      </x:c>
      <x:c r="F3" s="12" t="n">
        <x:v>1500</x:v>
      </x:c>
      <x:c r="G3" s="12" t="n">
        <x:v>2000</x:v>
      </x:c>
      <x:c r="H3" s="12" t="n">
        <x:v>1</x:v>
      </x:c>
      <x:c r="I3" s="12" t="n">
        <x:v>2</x:v>
      </x:c>
      <x:c r="J3" s="12" t="n">
        <x:v>20</x:v>
      </x:c>
      <x:c r="K3" s="12" t="str">
        <x:v>pending</x:v>
      </x:c>
      <x:c r="L3" s="12" t="str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</x:row>
    <x:row r="4">
      <x:c r="A4" s="12" t="str">
        <x:v>random_igra_3hp_cov015</x:v>
      </x:c>
      <x:c r="B4" s="12" t="str">
        <x:v>random</x:v>
      </x:c>
      <x:c r="C4" s="32" t="n">
        <x:v>0.15</x:v>
      </x:c>
      <x:c r="D4" s="12" t="str">
        <x:v>IGRA</x:v>
      </x:c>
      <x:c r="E4" s="12" t="str">
        <x:v>3HP</x:v>
      </x:c>
      <x:c r="F4" s="12" t="n">
        <x:v>1500</x:v>
      </x:c>
      <x:c r="G4" s="12" t="n">
        <x:v>2000</x:v>
      </x:c>
      <x:c r="H4" s="12" t="n">
        <x:v>1</x:v>
      </x:c>
      <x:c r="I4" s="12" t="n">
        <x:v>2</x:v>
      </x:c>
      <x:c r="J4" s="12" t="n">
        <x:v>20</x:v>
      </x:c>
      <x:c r="K4" s="12" t="str">
        <x:v>pending</x:v>
      </x:c>
      <x:c r="L4" s="12" t="str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</x:row>
    <x:row r="5">
      <x:c r="A5" s="12" t="str">
        <x:v>random_igra_3hp_cov020</x:v>
      </x:c>
      <x:c r="B5" s="12" t="str">
        <x:v>random</x:v>
      </x:c>
      <x:c r="C5" s="32" t="n">
        <x:v>0.2</x:v>
      </x:c>
      <x:c r="D5" s="12" t="str">
        <x:v>IGRA</x:v>
      </x:c>
      <x:c r="E5" s="12" t="str">
        <x:v>3HP</x:v>
      </x:c>
      <x:c r="F5" s="12" t="n">
        <x:v>1500</x:v>
      </x:c>
      <x:c r="G5" s="12" t="n">
        <x:v>2000</x:v>
      </x:c>
      <x:c r="H5" s="12" t="n">
        <x:v>1</x:v>
      </x:c>
      <x:c r="I5" s="12" t="n">
        <x:v>2</x:v>
      </x:c>
      <x:c r="J5" s="12" t="n">
        <x:v>20</x:v>
      </x:c>
      <x:c r="K5" s="12" t="str">
        <x:v>pending</x:v>
      </x:c>
      <x:c r="L5" s="12" t="str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</x:row>
    <x:row r="6">
      <x:c r="A6" s="12" t="str">
        <x:v>random_igra_3hp_cov030</x:v>
      </x:c>
      <x:c r="B6" s="12" t="str">
        <x:v>random</x:v>
      </x:c>
      <x:c r="C6" s="32" t="n">
        <x:v>0.3</x:v>
      </x:c>
      <x:c r="D6" s="12" t="str">
        <x:v>IGRA</x:v>
      </x:c>
      <x:c r="E6" s="12" t="str">
        <x:v>3HP</x:v>
      </x:c>
      <x:c r="F6" s="12" t="n">
        <x:v>1500</x:v>
      </x:c>
      <x:c r="G6" s="12" t="n">
        <x:v>2000</x:v>
      </x:c>
      <x:c r="H6" s="12" t="n">
        <x:v>1</x:v>
      </x:c>
      <x:c r="I6" s="12" t="n">
        <x:v>2</x:v>
      </x:c>
      <x:c r="J6" s="12" t="n">
        <x:v>20</x:v>
      </x:c>
      <x:c r="K6" s="12" t="str">
        <x:v>pending</x:v>
      </x:c>
      <x:c r="L6" s="12" t="str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</x:row>
    <x:row r="7">
      <x:c r="A7" s="12" t="str">
        <x:v>random_igra_3hp_cov040</x:v>
      </x:c>
      <x:c r="B7" s="12" t="str">
        <x:v>random</x:v>
      </x:c>
      <x:c r="C7" s="32" t="n">
        <x:v>0.4</x:v>
      </x:c>
      <x:c r="D7" s="12" t="str">
        <x:v>IGRA</x:v>
      </x:c>
      <x:c r="E7" s="12" t="str">
        <x:v>3HP</x:v>
      </x:c>
      <x:c r="F7" s="12" t="n">
        <x:v>1500</x:v>
      </x:c>
      <x:c r="G7" s="12" t="n">
        <x:v>2000</x:v>
      </x:c>
      <x:c r="H7" s="12" t="n">
        <x:v>1</x:v>
      </x:c>
      <x:c r="I7" s="12" t="n">
        <x:v>2</x:v>
      </x:c>
      <x:c r="J7" s="12" t="n">
        <x:v>20</x:v>
      </x:c>
      <x:c r="K7" s="12" t="str">
        <x:v>pending</x:v>
      </x:c>
      <x:c r="L7" s="12" t="str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</x:row>
    <x:row r="8">
      <x:c r="A8" s="12" t="str">
        <x:v>random_igra_3hp_cov050</x:v>
      </x:c>
      <x:c r="B8" s="12" t="str">
        <x:v>random</x:v>
      </x:c>
      <x:c r="C8" s="32" t="n">
        <x:v>0.5</x:v>
      </x:c>
      <x:c r="D8" s="12" t="str">
        <x:v>IGRA</x:v>
      </x:c>
      <x:c r="E8" s="12" t="str">
        <x:v>3HP</x:v>
      </x:c>
      <x:c r="F8" s="12" t="n">
        <x:v>1500</x:v>
      </x:c>
      <x:c r="G8" s="12" t="n">
        <x:v>2000</x:v>
      </x:c>
      <x:c r="H8" s="12" t="n">
        <x:v>1</x:v>
      </x:c>
      <x:c r="I8" s="12" t="n">
        <x:v>2</x:v>
      </x:c>
      <x:c r="J8" s="12" t="n">
        <x:v>20</x:v>
      </x:c>
      <x:c r="K8" s="12" t="str">
        <x:v>pending</x:v>
      </x:c>
      <x:c r="L8" s="12" t="str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</x:row>
    <x:row r="9">
      <x:c r="A9" s="12" t="str">
        <x:v>random_igra_3hp_cov060</x:v>
      </x:c>
      <x:c r="B9" s="12" t="str">
        <x:v>random</x:v>
      </x:c>
      <x:c r="C9" s="32" t="n">
        <x:v>0.6</x:v>
      </x:c>
      <x:c r="D9" s="12" t="str">
        <x:v>IGRA</x:v>
      </x:c>
      <x:c r="E9" s="12" t="str">
        <x:v>3HP</x:v>
      </x:c>
      <x:c r="F9" s="12" t="n">
        <x:v>1500</x:v>
      </x:c>
      <x:c r="G9" s="12" t="n">
        <x:v>2000</x:v>
      </x:c>
      <x:c r="H9" s="12" t="n">
        <x:v>1</x:v>
      </x:c>
      <x:c r="I9" s="12" t="n">
        <x:v>2</x:v>
      </x:c>
      <x:c r="J9" s="12" t="n">
        <x:v>20</x:v>
      </x:c>
      <x:c r="K9" s="12" t="str">
        <x:v>pending</x:v>
      </x:c>
      <x:c r="L9" s="12" t="str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</x:row>
    <x:row r="10">
      <x:c r="A10" s="12" t="str">
        <x:v>random_igra_3hp_cov080</x:v>
      </x:c>
      <x:c r="B10" s="12" t="str">
        <x:v>random</x:v>
      </x:c>
      <x:c r="C10" s="32" t="n">
        <x:v>0.8</x:v>
      </x:c>
      <x:c r="D10" s="12" t="str">
        <x:v>IGRA</x:v>
      </x:c>
      <x:c r="E10" s="12" t="str">
        <x:v>3HP</x:v>
      </x:c>
      <x:c r="F10" s="12" t="n">
        <x:v>1500</x:v>
      </x:c>
      <x:c r="G10" s="12" t="n">
        <x:v>2000</x:v>
      </x:c>
      <x:c r="H10" s="12" t="n">
        <x:v>1</x:v>
      </x:c>
      <x:c r="I10" s="12" t="n">
        <x:v>2</x:v>
      </x:c>
      <x:c r="J10" s="12" t="n">
        <x:v>20</x:v>
      </x:c>
      <x:c r="K10" s="12" t="str">
        <x:v>pending</x:v>
      </x:c>
      <x:c r="L10" s="12" t="str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</x:row>
    <x:row r="11">
      <x:c r="A11" s="12" t="str">
        <x:v>random_igra_3hp_cov100</x:v>
      </x:c>
      <x:c r="B11" s="12" t="str">
        <x:v>random</x:v>
      </x:c>
      <x:c r="C11" s="32" t="n">
        <x:v>1</x:v>
      </x:c>
      <x:c r="D11" s="12" t="str">
        <x:v>IGRA</x:v>
      </x:c>
      <x:c r="E11" s="12" t="str">
        <x:v>3HP</x:v>
      </x:c>
      <x:c r="F11" s="12" t="n">
        <x:v>1500</x:v>
      </x:c>
      <x:c r="G11" s="12" t="n">
        <x:v>2000</x:v>
      </x:c>
      <x:c r="H11" s="12" t="n">
        <x:v>1</x:v>
      </x:c>
      <x:c r="I11" s="12" t="n">
        <x:v>2</x:v>
      </x:c>
      <x:c r="J11" s="12" t="n">
        <x:v>20</x:v>
      </x:c>
      <x:c r="K11" s="12" t="str">
        <x:v>pending</x:v>
      </x:c>
      <x:c r="L11" s="12" t="str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</x:row>
    <x:row r="12">
      <x:c r="A12" s="12" t="str">
        <x:v>ltbi_igra_3hp_cov005</x:v>
      </x:c>
      <x:c r="B12" s="12" t="str">
        <x:v>ltbi</x:v>
      </x:c>
      <x:c r="C12" s="32" t="n">
        <x:v>0.05</x:v>
      </x:c>
      <x:c r="D12" s="12" t="str">
        <x:v>IGRA</x:v>
      </x:c>
      <x:c r="E12" s="12" t="str">
        <x:v>3HP</x:v>
      </x:c>
      <x:c r="F12" s="12" t="n">
        <x:v>1500</x:v>
      </x:c>
      <x:c r="G12" s="12" t="n">
        <x:v>2000</x:v>
      </x:c>
      <x:c r="H12" s="12" t="n">
        <x:v>1</x:v>
      </x:c>
      <x:c r="I12" s="12" t="n">
        <x:v>2</x:v>
      </x:c>
      <x:c r="J12" s="12" t="n">
        <x:v>20</x:v>
      </x:c>
      <x:c r="K12" s="12" t="str">
        <x:v>pending</x:v>
      </x:c>
      <x:c r="L12" s="12" t="str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</x:row>
    <x:row r="13">
      <x:c r="A13" s="12" t="str">
        <x:v>ltbi_igra_3hp_cov010</x:v>
      </x:c>
      <x:c r="B13" s="12" t="str">
        <x:v>ltbi</x:v>
      </x:c>
      <x:c r="C13" s="32" t="n">
        <x:v>0.1</x:v>
      </x:c>
      <x:c r="D13" s="12" t="str">
        <x:v>IGRA</x:v>
      </x:c>
      <x:c r="E13" s="12" t="str">
        <x:v>3HP</x:v>
      </x:c>
      <x:c r="F13" s="12" t="n">
        <x:v>1500</x:v>
      </x:c>
      <x:c r="G13" s="12" t="n">
        <x:v>2000</x:v>
      </x:c>
      <x:c r="H13" s="12" t="n">
        <x:v>1</x:v>
      </x:c>
      <x:c r="I13" s="12" t="n">
        <x:v>2</x:v>
      </x:c>
      <x:c r="J13" s="12" t="n">
        <x:v>20</x:v>
      </x:c>
      <x:c r="K13" s="12" t="str">
        <x:v>pending</x:v>
      </x:c>
      <x:c r="L13" s="12" t="str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</x:row>
    <x:row r="14">
      <x:c r="A14" s="12" t="str">
        <x:v>ltbi_igra_3hp_cov015</x:v>
      </x:c>
      <x:c r="B14" s="12" t="str">
        <x:v>ltbi</x:v>
      </x:c>
      <x:c r="C14" s="32" t="n">
        <x:v>0.15</x:v>
      </x:c>
      <x:c r="D14" s="12" t="str">
        <x:v>IGRA</x:v>
      </x:c>
      <x:c r="E14" s="12" t="str">
        <x:v>3HP</x:v>
      </x:c>
      <x:c r="F14" s="12" t="n">
        <x:v>1500</x:v>
      </x:c>
      <x:c r="G14" s="12" t="n">
        <x:v>2000</x:v>
      </x:c>
      <x:c r="H14" s="12" t="n">
        <x:v>1</x:v>
      </x:c>
      <x:c r="I14" s="12" t="n">
        <x:v>2</x:v>
      </x:c>
      <x:c r="J14" s="12" t="n">
        <x:v>20</x:v>
      </x:c>
      <x:c r="K14" s="12" t="str">
        <x:v>pending</x:v>
      </x:c>
      <x:c r="L14" s="12" t="str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</x:row>
    <x:row r="15">
      <x:c r="A15" s="12" t="str">
        <x:v>ltbi_igra_3hp_cov020</x:v>
      </x:c>
      <x:c r="B15" s="12" t="str">
        <x:v>ltbi</x:v>
      </x:c>
      <x:c r="C15" s="32" t="n">
        <x:v>0.2</x:v>
      </x:c>
      <x:c r="D15" s="12" t="str">
        <x:v>IGRA</x:v>
      </x:c>
      <x:c r="E15" s="12" t="str">
        <x:v>3HP</x:v>
      </x:c>
      <x:c r="F15" s="12" t="n">
        <x:v>1500</x:v>
      </x:c>
      <x:c r="G15" s="12" t="n">
        <x:v>2000</x:v>
      </x:c>
      <x:c r="H15" s="12" t="n">
        <x:v>1</x:v>
      </x:c>
      <x:c r="I15" s="12" t="n">
        <x:v>2</x:v>
      </x:c>
      <x:c r="J15" s="12" t="n">
        <x:v>20</x:v>
      </x:c>
      <x:c r="K15" s="12" t="str">
        <x:v>pending</x:v>
      </x:c>
      <x:c r="L15" s="12" t="str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</x:row>
    <x:row r="16">
      <x:c r="A16" s="12" t="str">
        <x:v>ltbi_igra_3hp_cov030</x:v>
      </x:c>
      <x:c r="B16" s="12" t="str">
        <x:v>ltbi</x:v>
      </x:c>
      <x:c r="C16" s="32" t="n">
        <x:v>0.3</x:v>
      </x:c>
      <x:c r="D16" s="12" t="str">
        <x:v>IGRA</x:v>
      </x:c>
      <x:c r="E16" s="12" t="str">
        <x:v>3HP</x:v>
      </x:c>
      <x:c r="F16" s="12" t="n">
        <x:v>1500</x:v>
      </x:c>
      <x:c r="G16" s="12" t="n">
        <x:v>2000</x:v>
      </x:c>
      <x:c r="H16" s="12" t="n">
        <x:v>1</x:v>
      </x:c>
      <x:c r="I16" s="12" t="n">
        <x:v>2</x:v>
      </x:c>
      <x:c r="J16" s="12" t="n">
        <x:v>20</x:v>
      </x:c>
      <x:c r="K16" s="12" t="str">
        <x:v>pending</x:v>
      </x:c>
      <x:c r="L16" s="12" t="str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</x:row>
    <x:row r="17">
      <x:c r="A17" s="12" t="str">
        <x:v>ltbi_igra_3hp_cov040</x:v>
      </x:c>
      <x:c r="B17" s="12" t="str">
        <x:v>ltbi</x:v>
      </x:c>
      <x:c r="C17" s="32" t="n">
        <x:v>0.4</x:v>
      </x:c>
      <x:c r="D17" s="12" t="str">
        <x:v>IGRA</x:v>
      </x:c>
      <x:c r="E17" s="12" t="str">
        <x:v>3HP</x:v>
      </x:c>
      <x:c r="F17" s="12" t="n">
        <x:v>1500</x:v>
      </x:c>
      <x:c r="G17" s="12" t="n">
        <x:v>2000</x:v>
      </x:c>
      <x:c r="H17" s="12" t="n">
        <x:v>1</x:v>
      </x:c>
      <x:c r="I17" s="12" t="n">
        <x:v>2</x:v>
      </x:c>
      <x:c r="J17" s="12" t="n">
        <x:v>20</x:v>
      </x:c>
      <x:c r="K17" s="12" t="str">
        <x:v>pending</x:v>
      </x:c>
      <x:c r="L17" s="12" t="str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</x:row>
    <x:row r="18">
      <x:c r="A18" s="12" t="str">
        <x:v>ltbi_igra_3hp_cov050</x:v>
      </x:c>
      <x:c r="B18" s="12" t="str">
        <x:v>ltbi</x:v>
      </x:c>
      <x:c r="C18" s="32" t="n">
        <x:v>0.5</x:v>
      </x:c>
      <x:c r="D18" s="12" t="str">
        <x:v>IGRA</x:v>
      </x:c>
      <x:c r="E18" s="12" t="str">
        <x:v>3HP</x:v>
      </x:c>
      <x:c r="F18" s="12" t="n">
        <x:v>1500</x:v>
      </x:c>
      <x:c r="G18" s="12" t="n">
        <x:v>2000</x:v>
      </x:c>
      <x:c r="H18" s="12" t="n">
        <x:v>1</x:v>
      </x:c>
      <x:c r="I18" s="12" t="n">
        <x:v>2</x:v>
      </x:c>
      <x:c r="J18" s="12" t="n">
        <x:v>20</x:v>
      </x:c>
      <x:c r="K18" s="12" t="str">
        <x:v>pending</x:v>
      </x:c>
      <x:c r="L18" s="12" t="str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</x:row>
    <x:row r="19">
      <x:c r="A19" s="12" t="str">
        <x:v>ltbi_igra_3hp_cov060</x:v>
      </x:c>
      <x:c r="B19" s="12" t="str">
        <x:v>ltbi</x:v>
      </x:c>
      <x:c r="C19" s="32" t="n">
        <x:v>0.6</x:v>
      </x:c>
      <x:c r="D19" s="12" t="str">
        <x:v>IGRA</x:v>
      </x:c>
      <x:c r="E19" s="12" t="str">
        <x:v>3HP</x:v>
      </x:c>
      <x:c r="F19" s="12" t="n">
        <x:v>1500</x:v>
      </x:c>
      <x:c r="G19" s="12" t="n">
        <x:v>2000</x:v>
      </x:c>
      <x:c r="H19" s="12" t="n">
        <x:v>1</x:v>
      </x:c>
      <x:c r="I19" s="12" t="n">
        <x:v>2</x:v>
      </x:c>
      <x:c r="J19" s="12" t="n">
        <x:v>20</x:v>
      </x:c>
      <x:c r="K19" s="12" t="str">
        <x:v>pending</x:v>
      </x:c>
      <x:c r="L19" s="12" t="str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</x:row>
    <x:row r="20">
      <x:c r="A20" s="12" t="str">
        <x:v>ltbi_igra_3hp_cov080</x:v>
      </x:c>
      <x:c r="B20" s="12" t="str">
        <x:v>ltbi</x:v>
      </x:c>
      <x:c r="C20" s="32" t="n">
        <x:v>0.8</x:v>
      </x:c>
      <x:c r="D20" s="12" t="str">
        <x:v>IGRA</x:v>
      </x:c>
      <x:c r="E20" s="12" t="str">
        <x:v>3HP</x:v>
      </x:c>
      <x:c r="F20" s="12" t="n">
        <x:v>1500</x:v>
      </x:c>
      <x:c r="G20" s="12" t="n">
        <x:v>2000</x:v>
      </x:c>
      <x:c r="H20" s="12" t="n">
        <x:v>1</x:v>
      </x:c>
      <x:c r="I20" s="12" t="n">
        <x:v>2</x:v>
      </x:c>
      <x:c r="J20" s="12" t="n">
        <x:v>20</x:v>
      </x:c>
      <x:c r="K20" s="12" t="str">
        <x:v>pending</x:v>
      </x:c>
      <x:c r="L20" s="12" t="str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</x:row>
    <x:row r="21">
      <x:c r="A21" s="12" t="str">
        <x:v>ltbi_igra_3hp_cov100</x:v>
      </x:c>
      <x:c r="B21" s="12" t="str">
        <x:v>ltbi</x:v>
      </x:c>
      <x:c r="C21" s="32" t="n">
        <x:v>1</x:v>
      </x:c>
      <x:c r="D21" s="12" t="str">
        <x:v>IGRA</x:v>
      </x:c>
      <x:c r="E21" s="12" t="str">
        <x:v>3HP</x:v>
      </x:c>
      <x:c r="F21" s="12" t="n">
        <x:v>1500</x:v>
      </x:c>
      <x:c r="G21" s="12" t="n">
        <x:v>2000</x:v>
      </x:c>
      <x:c r="H21" s="12" t="n">
        <x:v>1</x:v>
      </x:c>
      <x:c r="I21" s="12" t="n">
        <x:v>2</x:v>
      </x:c>
      <x:c r="J21" s="12" t="n">
        <x:v>20</x:v>
      </x:c>
      <x:c r="K21" s="12" t="str">
        <x:v>pending</x:v>
      </x:c>
      <x:c r="L21" s="12" t="str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</x:row>
    <x:row r="22">
      <x:c r="A22" s="12" t="str">
        <x:v>cure_igra_3hp_cov005</x:v>
      </x:c>
      <x:c r="B22" s="12" t="str">
        <x:v>cure</x:v>
      </x:c>
      <x:c r="C22" s="32" t="n">
        <x:v>0.05</x:v>
      </x:c>
      <x:c r="D22" s="12" t="str">
        <x:v>IGRA</x:v>
      </x:c>
      <x:c r="E22" s="12" t="str">
        <x:v>3HP</x:v>
      </x:c>
      <x:c r="F22" s="12" t="n">
        <x:v>1500</x:v>
      </x:c>
      <x:c r="G22" s="12" t="n">
        <x:v>2000</x:v>
      </x:c>
      <x:c r="H22" s="12" t="n">
        <x:v>1</x:v>
      </x:c>
      <x:c r="I22" s="12" t="n">
        <x:v>2</x:v>
      </x:c>
      <x:c r="J22" s="12" t="n">
        <x:v>20</x:v>
      </x:c>
      <x:c r="K22" s="12" t="str">
        <x:v>pending</x:v>
      </x:c>
      <x:c r="L22" s="12" t="str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</x:row>
    <x:row r="23">
      <x:c r="A23" s="12" t="str">
        <x:v>cure_igra_3hp_cov010</x:v>
      </x:c>
      <x:c r="B23" s="12" t="str">
        <x:v>cure</x:v>
      </x:c>
      <x:c r="C23" s="32" t="n">
        <x:v>0.1</x:v>
      </x:c>
      <x:c r="D23" s="12" t="str">
        <x:v>IGRA</x:v>
      </x:c>
      <x:c r="E23" s="12" t="str">
        <x:v>3HP</x:v>
      </x:c>
      <x:c r="F23" s="12" t="n">
        <x:v>1500</x:v>
      </x:c>
      <x:c r="G23" s="12" t="n">
        <x:v>2000</x:v>
      </x:c>
      <x:c r="H23" s="12" t="n">
        <x:v>1</x:v>
      </x:c>
      <x:c r="I23" s="12" t="n">
        <x:v>2</x:v>
      </x:c>
      <x:c r="J23" s="12" t="n">
        <x:v>20</x:v>
      </x:c>
      <x:c r="K23" s="12" t="str">
        <x:v>pending</x:v>
      </x:c>
      <x:c r="L23" s="12" t="str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</x:row>
    <x:row r="24">
      <x:c r="A24" s="12" t="str">
        <x:v>cure_igra_3hp_cov015</x:v>
      </x:c>
      <x:c r="B24" s="12" t="str">
        <x:v>cure</x:v>
      </x:c>
      <x:c r="C24" s="32" t="n">
        <x:v>0.15</x:v>
      </x:c>
      <x:c r="D24" s="12" t="str">
        <x:v>IGRA</x:v>
      </x:c>
      <x:c r="E24" s="12" t="str">
        <x:v>3HP</x:v>
      </x:c>
      <x:c r="F24" s="12" t="n">
        <x:v>1500</x:v>
      </x:c>
      <x:c r="G24" s="12" t="n">
        <x:v>2000</x:v>
      </x:c>
      <x:c r="H24" s="12" t="n">
        <x:v>1</x:v>
      </x:c>
      <x:c r="I24" s="12" t="n">
        <x:v>2</x:v>
      </x:c>
      <x:c r="J24" s="12" t="n">
        <x:v>20</x:v>
      </x:c>
      <x:c r="K24" s="12" t="str">
        <x:v>pending</x:v>
      </x:c>
      <x:c r="L24" s="12" t="str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</x:row>
    <x:row r="25">
      <x:c r="A25" s="12" t="str">
        <x:v>cure_igra_3hp_cov020</x:v>
      </x:c>
      <x:c r="B25" s="12" t="str">
        <x:v>cure</x:v>
      </x:c>
      <x:c r="C25" s="32" t="n">
        <x:v>0.2</x:v>
      </x:c>
      <x:c r="D25" s="12" t="str">
        <x:v>IGRA</x:v>
      </x:c>
      <x:c r="E25" s="12" t="str">
        <x:v>3HP</x:v>
      </x:c>
      <x:c r="F25" s="12" t="n">
        <x:v>1500</x:v>
      </x:c>
      <x:c r="G25" s="12" t="n">
        <x:v>2000</x:v>
      </x:c>
      <x:c r="H25" s="12" t="n">
        <x:v>1</x:v>
      </x:c>
      <x:c r="I25" s="12" t="n">
        <x:v>2</x:v>
      </x:c>
      <x:c r="J25" s="12" t="n">
        <x:v>20</x:v>
      </x:c>
      <x:c r="K25" s="12" t="str">
        <x:v>pending</x:v>
      </x:c>
      <x:c r="L25" s="12" t="str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</x:row>
    <x:row r="26">
      <x:c r="A26" s="12" t="str">
        <x:v>cure_igra_3hp_cov030</x:v>
      </x:c>
      <x:c r="B26" s="12" t="str">
        <x:v>cure</x:v>
      </x:c>
      <x:c r="C26" s="32" t="n">
        <x:v>0.3</x:v>
      </x:c>
      <x:c r="D26" s="12" t="str">
        <x:v>IGRA</x:v>
      </x:c>
      <x:c r="E26" s="12" t="str">
        <x:v>3HP</x:v>
      </x:c>
      <x:c r="F26" s="12" t="n">
        <x:v>1500</x:v>
      </x:c>
      <x:c r="G26" s="12" t="n">
        <x:v>2000</x:v>
      </x:c>
      <x:c r="H26" s="12" t="n">
        <x:v>1</x:v>
      </x:c>
      <x:c r="I26" s="12" t="n">
        <x:v>2</x:v>
      </x:c>
      <x:c r="J26" s="12" t="n">
        <x:v>20</x:v>
      </x:c>
      <x:c r="K26" s="12" t="str">
        <x:v>pending</x:v>
      </x:c>
      <x:c r="L26" s="12" t="str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</x:row>
    <x:row r="27">
      <x:c r="A27" s="12" t="str">
        <x:v>cure_igra_3hp_cov040</x:v>
      </x:c>
      <x:c r="B27" s="12" t="str">
        <x:v>cure</x:v>
      </x:c>
      <x:c r="C27" s="32" t="n">
        <x:v>0.4</x:v>
      </x:c>
      <x:c r="D27" s="12" t="str">
        <x:v>IGRA</x:v>
      </x:c>
      <x:c r="E27" s="12" t="str">
        <x:v>3HP</x:v>
      </x:c>
      <x:c r="F27" s="12" t="n">
        <x:v>1500</x:v>
      </x:c>
      <x:c r="G27" s="12" t="n">
        <x:v>2000</x:v>
      </x:c>
      <x:c r="H27" s="12" t="n">
        <x:v>1</x:v>
      </x:c>
      <x:c r="I27" s="12" t="n">
        <x:v>2</x:v>
      </x:c>
      <x:c r="J27" s="12" t="n">
        <x:v>20</x:v>
      </x:c>
      <x:c r="K27" s="12" t="str">
        <x:v>pending</x:v>
      </x:c>
      <x:c r="L27" s="12" t="str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</x:row>
    <x:row r="28">
      <x:c r="A28" s="12" t="str">
        <x:v>cure_igra_3hp_cov050</x:v>
      </x:c>
      <x:c r="B28" s="12" t="str">
        <x:v>cure</x:v>
      </x:c>
      <x:c r="C28" s="32" t="n">
        <x:v>0.5</x:v>
      </x:c>
      <x:c r="D28" s="12" t="str">
        <x:v>IGRA</x:v>
      </x:c>
      <x:c r="E28" s="12" t="str">
        <x:v>3HP</x:v>
      </x:c>
      <x:c r="F28" s="12" t="n">
        <x:v>1500</x:v>
      </x:c>
      <x:c r="G28" s="12" t="n">
        <x:v>2000</x:v>
      </x:c>
      <x:c r="H28" s="12" t="n">
        <x:v>1</x:v>
      </x:c>
      <x:c r="I28" s="12" t="n">
        <x:v>2</x:v>
      </x:c>
      <x:c r="J28" s="12" t="n">
        <x:v>20</x:v>
      </x:c>
      <x:c r="K28" s="12" t="str">
        <x:v>pending</x:v>
      </x:c>
      <x:c r="L28" s="12" t="str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</x:row>
    <x:row r="29">
      <x:c r="A29" s="12" t="str">
        <x:v>cure_igra_3hp_cov060</x:v>
      </x:c>
      <x:c r="B29" s="12" t="str">
        <x:v>cure</x:v>
      </x:c>
      <x:c r="C29" s="32" t="n">
        <x:v>0.6</x:v>
      </x:c>
      <x:c r="D29" s="12" t="str">
        <x:v>IGRA</x:v>
      </x:c>
      <x:c r="E29" s="12" t="str">
        <x:v>3HP</x:v>
      </x:c>
      <x:c r="F29" s="12" t="n">
        <x:v>1500</x:v>
      </x:c>
      <x:c r="G29" s="12" t="n">
        <x:v>2000</x:v>
      </x:c>
      <x:c r="H29" s="12" t="n">
        <x:v>1</x:v>
      </x:c>
      <x:c r="I29" s="12" t="n">
        <x:v>2</x:v>
      </x:c>
      <x:c r="J29" s="12" t="n">
        <x:v>20</x:v>
      </x:c>
      <x:c r="K29" s="12" t="str">
        <x:v>pending</x:v>
      </x:c>
      <x:c r="L29" s="12" t="str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</x:row>
    <x:row r="30">
      <x:c r="A30" s="12" t="str">
        <x:v>cure_igra_3hp_cov080</x:v>
      </x:c>
      <x:c r="B30" s="12" t="str">
        <x:v>cure</x:v>
      </x:c>
      <x:c r="C30" s="32" t="n">
        <x:v>0.8</x:v>
      </x:c>
      <x:c r="D30" s="12" t="str">
        <x:v>IGRA</x:v>
      </x:c>
      <x:c r="E30" s="12" t="str">
        <x:v>3HP</x:v>
      </x:c>
      <x:c r="F30" s="12" t="n">
        <x:v>1500</x:v>
      </x:c>
      <x:c r="G30" s="12" t="n">
        <x:v>2000</x:v>
      </x:c>
      <x:c r="H30" s="12" t="n">
        <x:v>1</x:v>
      </x:c>
      <x:c r="I30" s="12" t="n">
        <x:v>2</x:v>
      </x:c>
      <x:c r="J30" s="12" t="n">
        <x:v>20</x:v>
      </x:c>
      <x:c r="K30" s="12" t="str">
        <x:v>pending</x:v>
      </x:c>
      <x:c r="L30" s="12" t="str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</x:row>
    <x:row r="31">
      <x:c r="A31" s="12" t="str">
        <x:v>cure_igra_3hp_cov100</x:v>
      </x:c>
      <x:c r="B31" s="12" t="str">
        <x:v>cure</x:v>
      </x:c>
      <x:c r="C31" s="32" t="n">
        <x:v>1</x:v>
      </x:c>
      <x:c r="D31" s="12" t="str">
        <x:v>IGRA</x:v>
      </x:c>
      <x:c r="E31" s="12" t="str">
        <x:v>3HP</x:v>
      </x:c>
      <x:c r="F31" s="12" t="n">
        <x:v>1500</x:v>
      </x:c>
      <x:c r="G31" s="12" t="n">
        <x:v>2000</x:v>
      </x:c>
      <x:c r="H31" s="12" t="n">
        <x:v>1</x:v>
      </x:c>
      <x:c r="I31" s="12" t="n">
        <x:v>2</x:v>
      </x:c>
      <x:c r="J31" s="12" t="n">
        <x:v>20</x:v>
      </x:c>
      <x:c r="K31" s="12" t="str">
        <x:v>pending</x:v>
      </x:c>
      <x:c r="L31" s="12" t="str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</x:row>
    <x:row r="32">
      <x:c r="A32" s="12" t="str">
        <x:v>prevent_igra_3hp_cov005</x:v>
      </x:c>
      <x:c r="B32" s="12" t="str">
        <x:v>prevent</x:v>
      </x:c>
      <x:c r="C32" s="32" t="n">
        <x:v>0.05</x:v>
      </x:c>
      <x:c r="D32" s="12" t="str">
        <x:v>IGRA</x:v>
      </x:c>
      <x:c r="E32" s="12" t="str">
        <x:v>3HP</x:v>
      </x:c>
      <x:c r="F32" s="12" t="n">
        <x:v>1500</x:v>
      </x:c>
      <x:c r="G32" s="12" t="n">
        <x:v>2000</x:v>
      </x:c>
      <x:c r="H32" s="12" t="n">
        <x:v>1</x:v>
      </x:c>
      <x:c r="I32" s="12" t="n">
        <x:v>2</x:v>
      </x:c>
      <x:c r="J32" s="12" t="n">
        <x:v>20</x:v>
      </x:c>
      <x:c r="K32" s="12" t="str">
        <x:v>pending</x:v>
      </x:c>
      <x:c r="L32" s="12" t="str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</x:row>
    <x:row r="33">
      <x:c r="A33" s="12" t="str">
        <x:v>prevent_igra_3hp_cov010</x:v>
      </x:c>
      <x:c r="B33" s="12" t="str">
        <x:v>prevent</x:v>
      </x:c>
      <x:c r="C33" s="32" t="n">
        <x:v>0.1</x:v>
      </x:c>
      <x:c r="D33" s="12" t="str">
        <x:v>IGRA</x:v>
      </x:c>
      <x:c r="E33" s="12" t="str">
        <x:v>3HP</x:v>
      </x:c>
      <x:c r="F33" s="12" t="n">
        <x:v>1500</x:v>
      </x:c>
      <x:c r="G33" s="12" t="n">
        <x:v>2000</x:v>
      </x:c>
      <x:c r="H33" s="12" t="n">
        <x:v>1</x:v>
      </x:c>
      <x:c r="I33" s="12" t="n">
        <x:v>2</x:v>
      </x:c>
      <x:c r="J33" s="12" t="n">
        <x:v>20</x:v>
      </x:c>
      <x:c r="K33" s="12" t="str">
        <x:v>pending</x:v>
      </x:c>
      <x:c r="L33" s="12" t="str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</x:row>
    <x:row r="34">
      <x:c r="A34" s="12" t="str">
        <x:v>prevent_igra_3hp_cov015</x:v>
      </x:c>
      <x:c r="B34" s="12" t="str">
        <x:v>prevent</x:v>
      </x:c>
      <x:c r="C34" s="32" t="n">
        <x:v>0.15</x:v>
      </x:c>
      <x:c r="D34" s="12" t="str">
        <x:v>IGRA</x:v>
      </x:c>
      <x:c r="E34" s="12" t="str">
        <x:v>3HP</x:v>
      </x:c>
      <x:c r="F34" s="12" t="n">
        <x:v>1500</x:v>
      </x:c>
      <x:c r="G34" s="12" t="n">
        <x:v>2000</x:v>
      </x:c>
      <x:c r="H34" s="12" t="n">
        <x:v>1</x:v>
      </x:c>
      <x:c r="I34" s="12" t="n">
        <x:v>2</x:v>
      </x:c>
      <x:c r="J34" s="12" t="n">
        <x:v>20</x:v>
      </x:c>
      <x:c r="K34" s="12" t="str">
        <x:v>pending</x:v>
      </x:c>
      <x:c r="L34" s="12" t="str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</x:row>
    <x:row r="35">
      <x:c r="A35" s="12" t="str">
        <x:v>prevent_igra_3hp_cov020</x:v>
      </x:c>
      <x:c r="B35" s="12" t="str">
        <x:v>prevent</x:v>
      </x:c>
      <x:c r="C35" s="32" t="n">
        <x:v>0.2</x:v>
      </x:c>
      <x:c r="D35" s="12" t="str">
        <x:v>IGRA</x:v>
      </x:c>
      <x:c r="E35" s="12" t="str">
        <x:v>3HP</x:v>
      </x:c>
      <x:c r="F35" s="12" t="n">
        <x:v>1500</x:v>
      </x:c>
      <x:c r="G35" s="12" t="n">
        <x:v>2000</x:v>
      </x:c>
      <x:c r="H35" s="12" t="n">
        <x:v>1</x:v>
      </x:c>
      <x:c r="I35" s="12" t="n">
        <x:v>2</x:v>
      </x:c>
      <x:c r="J35" s="12" t="n">
        <x:v>20</x:v>
      </x:c>
      <x:c r="K35" s="12" t="str">
        <x:v>pending</x:v>
      </x:c>
      <x:c r="L35" s="12" t="str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</x:row>
    <x:row r="36">
      <x:c r="A36" s="12" t="str">
        <x:v>prevent_igra_3hp_cov030</x:v>
      </x:c>
      <x:c r="B36" s="12" t="str">
        <x:v>prevent</x:v>
      </x:c>
      <x:c r="C36" s="32" t="n">
        <x:v>0.3</x:v>
      </x:c>
      <x:c r="D36" s="12" t="str">
        <x:v>IGRA</x:v>
      </x:c>
      <x:c r="E36" s="12" t="str">
        <x:v>3HP</x:v>
      </x:c>
      <x:c r="F36" s="12" t="n">
        <x:v>1500</x:v>
      </x:c>
      <x:c r="G36" s="12" t="n">
        <x:v>2000</x:v>
      </x:c>
      <x:c r="H36" s="12" t="n">
        <x:v>1</x:v>
      </x:c>
      <x:c r="I36" s="12" t="n">
        <x:v>2</x:v>
      </x:c>
      <x:c r="J36" s="12" t="n">
        <x:v>20</x:v>
      </x:c>
      <x:c r="K36" s="12" t="str">
        <x:v>pending</x:v>
      </x:c>
      <x:c r="L36" s="12" t="str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</x:row>
    <x:row r="37">
      <x:c r="A37" s="12" t="str">
        <x:v>prevent_igra_3hp_cov040</x:v>
      </x:c>
      <x:c r="B37" s="12" t="str">
        <x:v>prevent</x:v>
      </x:c>
      <x:c r="C37" s="32" t="n">
        <x:v>0.4</x:v>
      </x:c>
      <x:c r="D37" s="12" t="str">
        <x:v>IGRA</x:v>
      </x:c>
      <x:c r="E37" s="12" t="str">
        <x:v>3HP</x:v>
      </x:c>
      <x:c r="F37" s="12" t="n">
        <x:v>1500</x:v>
      </x:c>
      <x:c r="G37" s="12" t="n">
        <x:v>2000</x:v>
      </x:c>
      <x:c r="H37" s="12" t="n">
        <x:v>1</x:v>
      </x:c>
      <x:c r="I37" s="12" t="n">
        <x:v>2</x:v>
      </x:c>
      <x:c r="J37" s="12" t="n">
        <x:v>20</x:v>
      </x:c>
      <x:c r="K37" s="12" t="str">
        <x:v>pending</x:v>
      </x:c>
      <x:c r="L37" s="12" t="str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</x:row>
    <x:row r="38">
      <x:c r="A38" s="12" t="str">
        <x:v>prevent_igra_3hp_cov050</x:v>
      </x:c>
      <x:c r="B38" s="12" t="str">
        <x:v>prevent</x:v>
      </x:c>
      <x:c r="C38" s="32" t="n">
        <x:v>0.5</x:v>
      </x:c>
      <x:c r="D38" s="12" t="str">
        <x:v>IGRA</x:v>
      </x:c>
      <x:c r="E38" s="12" t="str">
        <x:v>3HP</x:v>
      </x:c>
      <x:c r="F38" s="12" t="n">
        <x:v>1500</x:v>
      </x:c>
      <x:c r="G38" s="12" t="n">
        <x:v>2000</x:v>
      </x:c>
      <x:c r="H38" s="12" t="n">
        <x:v>1</x:v>
      </x:c>
      <x:c r="I38" s="12" t="n">
        <x:v>2</x:v>
      </x:c>
      <x:c r="J38" s="12" t="n">
        <x:v>20</x:v>
      </x:c>
      <x:c r="K38" s="12" t="str">
        <x:v>pending</x:v>
      </x:c>
      <x:c r="L38" s="12" t="str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</x:row>
    <x:row r="39">
      <x:c r="A39" s="12" t="str">
        <x:v>prevent_igra_3hp_cov060</x:v>
      </x:c>
      <x:c r="B39" s="12" t="str">
        <x:v>prevent</x:v>
      </x:c>
      <x:c r="C39" s="32" t="n">
        <x:v>0.6</x:v>
      </x:c>
      <x:c r="D39" s="12" t="str">
        <x:v>IGRA</x:v>
      </x:c>
      <x:c r="E39" s="12" t="str">
        <x:v>3HP</x:v>
      </x:c>
      <x:c r="F39" s="12" t="n">
        <x:v>1500</x:v>
      </x:c>
      <x:c r="G39" s="12" t="n">
        <x:v>2000</x:v>
      </x:c>
      <x:c r="H39" s="12" t="n">
        <x:v>1</x:v>
      </x:c>
      <x:c r="I39" s="12" t="n">
        <x:v>2</x:v>
      </x:c>
      <x:c r="J39" s="12" t="n">
        <x:v>20</x:v>
      </x:c>
      <x:c r="K39" s="12" t="str">
        <x:v>pending</x:v>
      </x:c>
      <x:c r="L39" s="12" t="str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</x:row>
    <x:row r="40">
      <x:c r="A40" s="12" t="str">
        <x:v>prevent_igra_3hp_cov080</x:v>
      </x:c>
      <x:c r="B40" s="12" t="str">
        <x:v>prevent</x:v>
      </x:c>
      <x:c r="C40" s="32" t="n">
        <x:v>0.8</x:v>
      </x:c>
      <x:c r="D40" s="12" t="str">
        <x:v>IGRA</x:v>
      </x:c>
      <x:c r="E40" s="12" t="str">
        <x:v>3HP</x:v>
      </x:c>
      <x:c r="F40" s="12" t="n">
        <x:v>1500</x:v>
      </x:c>
      <x:c r="G40" s="12" t="n">
        <x:v>2000</x:v>
      </x:c>
      <x:c r="H40" s="12" t="n">
        <x:v>1</x:v>
      </x:c>
      <x:c r="I40" s="12" t="n">
        <x:v>2</x:v>
      </x:c>
      <x:c r="J40" s="12" t="n">
        <x:v>20</x:v>
      </x:c>
      <x:c r="K40" s="12" t="str">
        <x:v>pending</x:v>
      </x:c>
      <x:c r="L40" s="12" t="str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</x:row>
    <x:row r="41">
      <x:c r="A41" s="12" t="str">
        <x:v>prevent_igra_3hp_cov100</x:v>
      </x:c>
      <x:c r="B41" s="12" t="str">
        <x:v>prevent</x:v>
      </x:c>
      <x:c r="C41" s="32" t="n">
        <x:v>1</x:v>
      </x:c>
      <x:c r="D41" s="12" t="str">
        <x:v>IGRA</x:v>
      </x:c>
      <x:c r="E41" s="12" t="str">
        <x:v>3HP</x:v>
      </x:c>
      <x:c r="F41" s="12" t="n">
        <x:v>1500</x:v>
      </x:c>
      <x:c r="G41" s="12" t="n">
        <x:v>2000</x:v>
      </x:c>
      <x:c r="H41" s="12" t="n">
        <x:v>1</x:v>
      </x:c>
      <x:c r="I41" s="12" t="n">
        <x:v>2</x:v>
      </x:c>
      <x:c r="J41" s="12" t="n">
        <x:v>20</x:v>
      </x:c>
      <x:c r="K41" s="12" t="str">
        <x:v>pending</x:v>
      </x:c>
      <x:c r="L41" s="12" t="str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</x:row>
  </x:sheetData>
  <x:pageMargins left="0.7" right="0.7" top="0.75" bottom="0.75" header="0.3" footer="0.3"/>
  <x:tableParts count="1">
    <x:tablePart xmlns:r="http://schemas.openxmlformats.org/officeDocument/2006/relationships" r:id="R2e6d40c24ed64c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18" t="str">
        <x:v>scenario_id</x:v>
      </x:c>
      <x:c r="B1" s="18" t="str">
        <x:v>screeningStrategy</x:v>
      </x:c>
      <x:c r="C1" s="18" t="str">
        <x:v>screenCoverage</x:v>
      </x:c>
      <x:c r="D1" s="18" t="str">
        <x:v>testType</x:v>
      </x:c>
      <x:c r="E1" s="18" t="str">
        <x:v>regimen</x:v>
      </x:c>
      <x:c r="F1" s="18" t="str">
        <x:v>N</x:v>
      </x:c>
      <x:c r="G1" s="18" t="str">
        <x:v>nReps</x:v>
      </x:c>
      <x:c r="H1" s="18" t="str">
        <x:v>seed</x:v>
      </x:c>
      <x:c r="I1" s="18" t="str">
        <x:v>nScreened</x:v>
      </x:c>
      <x:c r="J1" s="18" t="str">
        <x:v>nTestPositiveNonActive</x:v>
      </x:c>
      <x:c r="K1" s="18" t="str">
        <x:v>nFalsePositiveTests</x:v>
      </x:c>
      <x:c r="L1" s="18" t="str">
        <x:v>nFalsePositiveTreated</x:v>
      </x:c>
      <x:c r="M1" s="18" t="str">
        <x:v>nTotalCoursesStarted</x:v>
      </x:c>
      <x:c r="N1" s="18" t="str">
        <x:v>nIGRApos_or_TestPositive</x:v>
      </x:c>
      <x:c r="O1" s="18" t="str">
        <x:v>nScreenedBCG</x:v>
      </x:c>
      <x:c r="P1" s="18" t="str">
        <x:v>nFalsePositiveTestsBCG</x:v>
      </x:c>
      <x:c r="Q1" s="18" t="str">
        <x:v>nFalsePositiveTestsNoBCG</x:v>
      </x:c>
      <x:c r="R1" s="18" t="str">
        <x:v>nTruePositiveTests</x:v>
      </x:c>
      <x:c r="S1" s="18" t="str">
        <x:v>nTruePositiveTreated</x:v>
      </x:c>
      <x:c r="T1" s="18" t="str">
        <x:v>testPositivityRate</x:v>
      </x:c>
      <x:c r="U1" s="18" t="str">
        <x:v>falsePositiveTestRate</x:v>
      </x:c>
      <x:c r="V1" s="18" t="str">
        <x:v>truePositiveTestRate</x:v>
      </x:c>
      <x:c r="W1" s="18" t="str">
        <x:v>PPV_trueAmongTestPositive</x:v>
      </x:c>
      <x:c r="X1" s="18" t="str">
        <x:v>falsePositiveShareAmongTestPositive</x:v>
      </x:c>
      <x:c r="Y1" s="18" t="str">
        <x:v>falsePositiveTreatedShareAmongCoursesStarted</x:v>
      </x:c>
      <x:c r="Z1" s="18" t="str">
        <x:v>falsePositiveTestsPerTruePositiveTest</x:v>
      </x:c>
      <x:c r="AA1" s="18" t="str">
        <x:v>falsePositiveTreatedPerTruePositiveTreated</x:v>
      </x:c>
      <x:c r="AB1" s="18" t="str">
        <x:v>notes</x:v>
      </x:c>
    </x:row>
    <x:row r="2">
      <x:c r="A2" s="12" t="str">
        <x:v>random_igra_3hp_cov005</x:v>
      </x:c>
      <x:c r="B2" s="12" t="str">
        <x:v>random</x:v>
      </x:c>
      <x:c r="C2" s="32" t="n">
        <x:v>0.05</x:v>
      </x:c>
      <x:c r="D2" s="12" t="str">
        <x:v>IGRA</x:v>
      </x:c>
      <x:c r="E2" s="12" t="str">
        <x:v>3HP</x:v>
      </x:c>
      <x:c r="F2" s="12" t="n">
        <x:v>1500</x:v>
      </x:c>
      <x:c r="G2" s="12" t="n">
        <x:v>2000</x:v>
      </x:c>
      <x:c r="H2" s="12" t="n">
        <x:v>1</x:v>
      </x:c>
      <x:c r="I2" s="12"/>
      <x:c r="J2" s="12"/>
      <x:c r="K2" s="12"/>
      <x:c r="L2" s="12"/>
      <x:c r="M2" s="12"/>
      <x:c r="N2" s="12"/>
      <x:c r="O2" s="12"/>
      <x:c r="P2" s="12"/>
      <x:c r="Q2" s="12"/>
      <x:c r="R2" s="12" t="str">
        <x:f>IF(I2="","",IFERROR(J2-K2,""))</x:f>
      </x:c>
      <x:c r="S2" s="12" t="str">
        <x:f>IF(I2="","",IFERROR(M2-L2,""))</x:f>
      </x:c>
      <x:c r="T2" s="34" t="str">
        <x:f>IF(I2="","",IFERROR(J2/I2,""))</x:f>
      </x:c>
      <x:c r="U2" s="34" t="str">
        <x:f>IF(I2="","",IFERROR(K2/I2,""))</x:f>
      </x:c>
      <x:c r="V2" s="34" t="str">
        <x:f>IF(I2="","",IFERROR(R2/I2,""))</x:f>
      </x:c>
      <x:c r="W2" s="34" t="str">
        <x:f>IF(I2="","",IFERROR(R2/J2,""))</x:f>
      </x:c>
      <x:c r="X2" s="34" t="str">
        <x:f>IF(I2="","",IFERROR(K2/J2,""))</x:f>
      </x:c>
      <x:c r="Y2" s="34" t="str">
        <x:f>IF(I2="","",IFERROR(L2/M2,""))</x:f>
      </x:c>
      <x:c r="Z2" s="35" t="str">
        <x:f>IF(I2="","",IFERROR(K2/R2,""))</x:f>
      </x:c>
      <x:c r="AA2" s="35" t="str">
        <x:f>IF(I2="","",IFERROR(L2/S2,""))</x:f>
      </x:c>
      <x:c r="AB2" s="12"/>
    </x:row>
    <x:row r="3">
      <x:c r="A3" s="12" t="str">
        <x:v>random_igra_3hp_cov010</x:v>
      </x:c>
      <x:c r="B3" s="12" t="str">
        <x:v>random</x:v>
      </x:c>
      <x:c r="C3" s="32" t="n">
        <x:v>0.1</x:v>
      </x:c>
      <x:c r="D3" s="12" t="str">
        <x:v>IGRA</x:v>
      </x:c>
      <x:c r="E3" s="12" t="str">
        <x:v>3HP</x:v>
      </x:c>
      <x:c r="F3" s="12" t="n">
        <x:v>1500</x:v>
      </x:c>
      <x:c r="G3" s="12" t="n">
        <x:v>2000</x:v>
      </x:c>
      <x:c r="H3" s="12" t="n">
        <x:v>1</x:v>
      </x:c>
      <x:c r="I3" s="12"/>
      <x:c r="J3" s="12"/>
      <x:c r="K3" s="12"/>
      <x:c r="L3" s="12"/>
      <x:c r="M3" s="12"/>
      <x:c r="N3" s="12"/>
      <x:c r="O3" s="12"/>
      <x:c r="P3" s="12"/>
      <x:c r="Q3" s="12"/>
      <x:c r="R3" s="12" t="str">
        <x:f>IF(I3="","",IFERROR(J3-K3,""))</x:f>
      </x:c>
      <x:c r="S3" s="12" t="str">
        <x:f>IF(I3="","",IFERROR(M3-L3,""))</x:f>
      </x:c>
      <x:c r="T3" s="34" t="str">
        <x:f>IF(I3="","",IFERROR(J3/I3,""))</x:f>
      </x:c>
      <x:c r="U3" s="34" t="str">
        <x:f>IF(I3="","",IFERROR(K3/I3,""))</x:f>
      </x:c>
      <x:c r="V3" s="34" t="str">
        <x:f>IF(I3="","",IFERROR(R3/I3,""))</x:f>
      </x:c>
      <x:c r="W3" s="34" t="str">
        <x:f>IF(I3="","",IFERROR(R3/J3,""))</x:f>
      </x:c>
      <x:c r="X3" s="34" t="str">
        <x:f>IF(I3="","",IFERROR(K3/J3,""))</x:f>
      </x:c>
      <x:c r="Y3" s="34" t="str">
        <x:f>IF(I3="","",IFERROR(L3/M3,""))</x:f>
      </x:c>
      <x:c r="Z3" s="35" t="str">
        <x:f>IF(I3="","",IFERROR(K3/R3,""))</x:f>
      </x:c>
      <x:c r="AA3" s="35" t="str">
        <x:f>IF(I3="","",IFERROR(L3/S3,""))</x:f>
      </x:c>
      <x:c r="AB3" s="12"/>
    </x:row>
    <x:row r="4">
      <x:c r="A4" s="12" t="str">
        <x:v>random_igra_3hp_cov015</x:v>
      </x:c>
      <x:c r="B4" s="12" t="str">
        <x:v>random</x:v>
      </x:c>
      <x:c r="C4" s="32" t="n">
        <x:v>0.15</x:v>
      </x:c>
      <x:c r="D4" s="12" t="str">
        <x:v>IGRA</x:v>
      </x:c>
      <x:c r="E4" s="12" t="str">
        <x:v>3HP</x:v>
      </x:c>
      <x:c r="F4" s="12" t="n">
        <x:v>1500</x:v>
      </x:c>
      <x:c r="G4" s="12" t="n">
        <x:v>2000</x:v>
      </x:c>
      <x:c r="H4" s="12" t="n">
        <x:v>1</x:v>
      </x:c>
      <x:c r="I4" s="12"/>
      <x:c r="J4" s="12"/>
      <x:c r="K4" s="12"/>
      <x:c r="L4" s="12"/>
      <x:c r="M4" s="12"/>
      <x:c r="N4" s="12"/>
      <x:c r="O4" s="12"/>
      <x:c r="P4" s="12"/>
      <x:c r="Q4" s="12"/>
      <x:c r="R4" s="12" t="str">
        <x:f>IF(I4="","",IFERROR(J4-K4,""))</x:f>
      </x:c>
      <x:c r="S4" s="12" t="str">
        <x:f>IF(I4="","",IFERROR(M4-L4,""))</x:f>
      </x:c>
      <x:c r="T4" s="34" t="str">
        <x:f>IF(I4="","",IFERROR(J4/I4,""))</x:f>
      </x:c>
      <x:c r="U4" s="34" t="str">
        <x:f>IF(I4="","",IFERROR(K4/I4,""))</x:f>
      </x:c>
      <x:c r="V4" s="34" t="str">
        <x:f>IF(I4="","",IFERROR(R4/I4,""))</x:f>
      </x:c>
      <x:c r="W4" s="34" t="str">
        <x:f>IF(I4="","",IFERROR(R4/J4,""))</x:f>
      </x:c>
      <x:c r="X4" s="34" t="str">
        <x:f>IF(I4="","",IFERROR(K4/J4,""))</x:f>
      </x:c>
      <x:c r="Y4" s="34" t="str">
        <x:f>IF(I4="","",IFERROR(L4/M4,""))</x:f>
      </x:c>
      <x:c r="Z4" s="35" t="str">
        <x:f>IF(I4="","",IFERROR(K4/R4,""))</x:f>
      </x:c>
      <x:c r="AA4" s="35" t="str">
        <x:f>IF(I4="","",IFERROR(L4/S4,""))</x:f>
      </x:c>
      <x:c r="AB4" s="12"/>
    </x:row>
    <x:row r="5">
      <x:c r="A5" s="12" t="str">
        <x:v>random_igra_3hp_cov020</x:v>
      </x:c>
      <x:c r="B5" s="12" t="str">
        <x:v>random</x:v>
      </x:c>
      <x:c r="C5" s="32" t="n">
        <x:v>0.2</x:v>
      </x:c>
      <x:c r="D5" s="12" t="str">
        <x:v>IGRA</x:v>
      </x:c>
      <x:c r="E5" s="12" t="str">
        <x:v>3HP</x:v>
      </x:c>
      <x:c r="F5" s="12" t="n">
        <x:v>1500</x:v>
      </x:c>
      <x:c r="G5" s="12" t="n">
        <x:v>2000</x:v>
      </x:c>
      <x:c r="H5" s="12" t="n">
        <x:v>1</x:v>
      </x:c>
      <x:c r="I5" s="12"/>
      <x:c r="J5" s="12"/>
      <x:c r="K5" s="12"/>
      <x:c r="L5" s="12"/>
      <x:c r="M5" s="12"/>
      <x:c r="N5" s="12"/>
      <x:c r="O5" s="12"/>
      <x:c r="P5" s="12"/>
      <x:c r="Q5" s="12"/>
      <x:c r="R5" s="12" t="str">
        <x:f>IF(I5="","",IFERROR(J5-K5,""))</x:f>
      </x:c>
      <x:c r="S5" s="12" t="str">
        <x:f>IF(I5="","",IFERROR(M5-L5,""))</x:f>
      </x:c>
      <x:c r="T5" s="34" t="str">
        <x:f>IF(I5="","",IFERROR(J5/I5,""))</x:f>
      </x:c>
      <x:c r="U5" s="34" t="str">
        <x:f>IF(I5="","",IFERROR(K5/I5,""))</x:f>
      </x:c>
      <x:c r="V5" s="34" t="str">
        <x:f>IF(I5="","",IFERROR(R5/I5,""))</x:f>
      </x:c>
      <x:c r="W5" s="34" t="str">
        <x:f>IF(I5="","",IFERROR(R5/J5,""))</x:f>
      </x:c>
      <x:c r="X5" s="34" t="str">
        <x:f>IF(I5="","",IFERROR(K5/J5,""))</x:f>
      </x:c>
      <x:c r="Y5" s="34" t="str">
        <x:f>IF(I5="","",IFERROR(L5/M5,""))</x:f>
      </x:c>
      <x:c r="Z5" s="35" t="str">
        <x:f>IF(I5="","",IFERROR(K5/R5,""))</x:f>
      </x:c>
      <x:c r="AA5" s="35" t="str">
        <x:f>IF(I5="","",IFERROR(L5/S5,""))</x:f>
      </x:c>
      <x:c r="AB5" s="12"/>
    </x:row>
    <x:row r="6">
      <x:c r="A6" s="12" t="str">
        <x:v>random_igra_3hp_cov030</x:v>
      </x:c>
      <x:c r="B6" s="12" t="str">
        <x:v>random</x:v>
      </x:c>
      <x:c r="C6" s="32" t="n">
        <x:v>0.3</x:v>
      </x:c>
      <x:c r="D6" s="12" t="str">
        <x:v>IGRA</x:v>
      </x:c>
      <x:c r="E6" s="12" t="str">
        <x:v>3HP</x:v>
      </x:c>
      <x:c r="F6" s="12" t="n">
        <x:v>1500</x:v>
      </x:c>
      <x:c r="G6" s="12" t="n">
        <x:v>2000</x:v>
      </x:c>
      <x:c r="H6" s="12" t="n">
        <x:v>1</x:v>
      </x:c>
      <x:c r="I6" s="12"/>
      <x:c r="J6" s="12"/>
      <x:c r="K6" s="12"/>
      <x:c r="L6" s="12"/>
      <x:c r="M6" s="12"/>
      <x:c r="N6" s="12"/>
      <x:c r="O6" s="12"/>
      <x:c r="P6" s="12"/>
      <x:c r="Q6" s="12"/>
      <x:c r="R6" s="12" t="str">
        <x:f>IF(I6="","",IFERROR(J6-K6,""))</x:f>
      </x:c>
      <x:c r="S6" s="12" t="str">
        <x:f>IF(I6="","",IFERROR(M6-L6,""))</x:f>
      </x:c>
      <x:c r="T6" s="34" t="str">
        <x:f>IF(I6="","",IFERROR(J6/I6,""))</x:f>
      </x:c>
      <x:c r="U6" s="34" t="str">
        <x:f>IF(I6="","",IFERROR(K6/I6,""))</x:f>
      </x:c>
      <x:c r="V6" s="34" t="str">
        <x:f>IF(I6="","",IFERROR(R6/I6,""))</x:f>
      </x:c>
      <x:c r="W6" s="34" t="str">
        <x:f>IF(I6="","",IFERROR(R6/J6,""))</x:f>
      </x:c>
      <x:c r="X6" s="34" t="str">
        <x:f>IF(I6="","",IFERROR(K6/J6,""))</x:f>
      </x:c>
      <x:c r="Y6" s="34" t="str">
        <x:f>IF(I6="","",IFERROR(L6/M6,""))</x:f>
      </x:c>
      <x:c r="Z6" s="35" t="str">
        <x:f>IF(I6="","",IFERROR(K6/R6,""))</x:f>
      </x:c>
      <x:c r="AA6" s="35" t="str">
        <x:f>IF(I6="","",IFERROR(L6/S6,""))</x:f>
      </x:c>
      <x:c r="AB6" s="12"/>
    </x:row>
    <x:row r="7">
      <x:c r="A7" s="12" t="str">
        <x:v>random_igra_3hp_cov040</x:v>
      </x:c>
      <x:c r="B7" s="12" t="str">
        <x:v>random</x:v>
      </x:c>
      <x:c r="C7" s="32" t="n">
        <x:v>0.4</x:v>
      </x:c>
      <x:c r="D7" s="12" t="str">
        <x:v>IGRA</x:v>
      </x:c>
      <x:c r="E7" s="12" t="str">
        <x:v>3HP</x:v>
      </x:c>
      <x:c r="F7" s="12" t="n">
        <x:v>1500</x:v>
      </x:c>
      <x:c r="G7" s="12" t="n">
        <x:v>2000</x:v>
      </x:c>
      <x:c r="H7" s="12" t="n">
        <x:v>1</x:v>
      </x:c>
      <x:c r="I7" s="12"/>
      <x:c r="J7" s="12"/>
      <x:c r="K7" s="12"/>
      <x:c r="L7" s="12"/>
      <x:c r="M7" s="12"/>
      <x:c r="N7" s="12"/>
      <x:c r="O7" s="12"/>
      <x:c r="P7" s="12"/>
      <x:c r="Q7" s="12"/>
      <x:c r="R7" s="12" t="str">
        <x:f>IF(I7="","",IFERROR(J7-K7,""))</x:f>
      </x:c>
      <x:c r="S7" s="12" t="str">
        <x:f>IF(I7="","",IFERROR(M7-L7,""))</x:f>
      </x:c>
      <x:c r="T7" s="34" t="str">
        <x:f>IF(I7="","",IFERROR(J7/I7,""))</x:f>
      </x:c>
      <x:c r="U7" s="34" t="str">
        <x:f>IF(I7="","",IFERROR(K7/I7,""))</x:f>
      </x:c>
      <x:c r="V7" s="34" t="str">
        <x:f>IF(I7="","",IFERROR(R7/I7,""))</x:f>
      </x:c>
      <x:c r="W7" s="34" t="str">
        <x:f>IF(I7="","",IFERROR(R7/J7,""))</x:f>
      </x:c>
      <x:c r="X7" s="34" t="str">
        <x:f>IF(I7="","",IFERROR(K7/J7,""))</x:f>
      </x:c>
      <x:c r="Y7" s="34" t="str">
        <x:f>IF(I7="","",IFERROR(L7/M7,""))</x:f>
      </x:c>
      <x:c r="Z7" s="35" t="str">
        <x:f>IF(I7="","",IFERROR(K7/R7,""))</x:f>
      </x:c>
      <x:c r="AA7" s="35" t="str">
        <x:f>IF(I7="","",IFERROR(L7/S7,""))</x:f>
      </x:c>
      <x:c r="AB7" s="12"/>
    </x:row>
    <x:row r="8">
      <x:c r="A8" s="12" t="str">
        <x:v>random_igra_3hp_cov050</x:v>
      </x:c>
      <x:c r="B8" s="12" t="str">
        <x:v>random</x:v>
      </x:c>
      <x:c r="C8" s="32" t="n">
        <x:v>0.5</x:v>
      </x:c>
      <x:c r="D8" s="12" t="str">
        <x:v>IGRA</x:v>
      </x:c>
      <x:c r="E8" s="12" t="str">
        <x:v>3HP</x:v>
      </x:c>
      <x:c r="F8" s="12" t="n">
        <x:v>1500</x:v>
      </x:c>
      <x:c r="G8" s="12" t="n">
        <x:v>2000</x:v>
      </x:c>
      <x:c r="H8" s="12" t="n">
        <x:v>1</x:v>
      </x:c>
      <x:c r="I8" s="12"/>
      <x:c r="J8" s="12"/>
      <x:c r="K8" s="12"/>
      <x:c r="L8" s="12"/>
      <x:c r="M8" s="12"/>
      <x:c r="N8" s="12"/>
      <x:c r="O8" s="12"/>
      <x:c r="P8" s="12"/>
      <x:c r="Q8" s="12"/>
      <x:c r="R8" s="12" t="str">
        <x:f>IF(I8="","",IFERROR(J8-K8,""))</x:f>
      </x:c>
      <x:c r="S8" s="12" t="str">
        <x:f>IF(I8="","",IFERROR(M8-L8,""))</x:f>
      </x:c>
      <x:c r="T8" s="34" t="str">
        <x:f>IF(I8="","",IFERROR(J8/I8,""))</x:f>
      </x:c>
      <x:c r="U8" s="34" t="str">
        <x:f>IF(I8="","",IFERROR(K8/I8,""))</x:f>
      </x:c>
      <x:c r="V8" s="34" t="str">
        <x:f>IF(I8="","",IFERROR(R8/I8,""))</x:f>
      </x:c>
      <x:c r="W8" s="34" t="str">
        <x:f>IF(I8="","",IFERROR(R8/J8,""))</x:f>
      </x:c>
      <x:c r="X8" s="34" t="str">
        <x:f>IF(I8="","",IFERROR(K8/J8,""))</x:f>
      </x:c>
      <x:c r="Y8" s="34" t="str">
        <x:f>IF(I8="","",IFERROR(L8/M8,""))</x:f>
      </x:c>
      <x:c r="Z8" s="35" t="str">
        <x:f>IF(I8="","",IFERROR(K8/R8,""))</x:f>
      </x:c>
      <x:c r="AA8" s="35" t="str">
        <x:f>IF(I8="","",IFERROR(L8/S8,""))</x:f>
      </x:c>
      <x:c r="AB8" s="12"/>
    </x:row>
    <x:row r="9">
      <x:c r="A9" s="12" t="str">
        <x:v>random_igra_3hp_cov060</x:v>
      </x:c>
      <x:c r="B9" s="12" t="str">
        <x:v>random</x:v>
      </x:c>
      <x:c r="C9" s="32" t="n">
        <x:v>0.6</x:v>
      </x:c>
      <x:c r="D9" s="12" t="str">
        <x:v>IGRA</x:v>
      </x:c>
      <x:c r="E9" s="12" t="str">
        <x:v>3HP</x:v>
      </x:c>
      <x:c r="F9" s="12" t="n">
        <x:v>1500</x:v>
      </x:c>
      <x:c r="G9" s="12" t="n">
        <x:v>2000</x:v>
      </x:c>
      <x:c r="H9" s="12" t="n">
        <x:v>1</x:v>
      </x:c>
      <x:c r="I9" s="12"/>
      <x:c r="J9" s="12"/>
      <x:c r="K9" s="12"/>
      <x:c r="L9" s="12"/>
      <x:c r="M9" s="12"/>
      <x:c r="N9" s="12"/>
      <x:c r="O9" s="12"/>
      <x:c r="P9" s="12"/>
      <x:c r="Q9" s="12"/>
      <x:c r="R9" s="12" t="str">
        <x:f>IF(I9="","",IFERROR(J9-K9,""))</x:f>
      </x:c>
      <x:c r="S9" s="12" t="str">
        <x:f>IF(I9="","",IFERROR(M9-L9,""))</x:f>
      </x:c>
      <x:c r="T9" s="34" t="str">
        <x:f>IF(I9="","",IFERROR(J9/I9,""))</x:f>
      </x:c>
      <x:c r="U9" s="34" t="str">
        <x:f>IF(I9="","",IFERROR(K9/I9,""))</x:f>
      </x:c>
      <x:c r="V9" s="34" t="str">
        <x:f>IF(I9="","",IFERROR(R9/I9,""))</x:f>
      </x:c>
      <x:c r="W9" s="34" t="str">
        <x:f>IF(I9="","",IFERROR(R9/J9,""))</x:f>
      </x:c>
      <x:c r="X9" s="34" t="str">
        <x:f>IF(I9="","",IFERROR(K9/J9,""))</x:f>
      </x:c>
      <x:c r="Y9" s="34" t="str">
        <x:f>IF(I9="","",IFERROR(L9/M9,""))</x:f>
      </x:c>
      <x:c r="Z9" s="35" t="str">
        <x:f>IF(I9="","",IFERROR(K9/R9,""))</x:f>
      </x:c>
      <x:c r="AA9" s="35" t="str">
        <x:f>IF(I9="","",IFERROR(L9/S9,""))</x:f>
      </x:c>
      <x:c r="AB9" s="12"/>
    </x:row>
    <x:row r="10">
      <x:c r="A10" s="12" t="str">
        <x:v>random_igra_3hp_cov080</x:v>
      </x:c>
      <x:c r="B10" s="12" t="str">
        <x:v>random</x:v>
      </x:c>
      <x:c r="C10" s="32" t="n">
        <x:v>0.8</x:v>
      </x:c>
      <x:c r="D10" s="12" t="str">
        <x:v>IGRA</x:v>
      </x:c>
      <x:c r="E10" s="12" t="str">
        <x:v>3HP</x:v>
      </x:c>
      <x:c r="F10" s="12" t="n">
        <x:v>1500</x:v>
      </x:c>
      <x:c r="G10" s="12" t="n">
        <x:v>2000</x:v>
      </x:c>
      <x:c r="H10" s="12" t="n">
        <x:v>1</x:v>
      </x:c>
      <x:c r="I10" s="12"/>
      <x:c r="J10" s="12"/>
      <x:c r="K10" s="12"/>
      <x:c r="L10" s="12"/>
      <x:c r="M10" s="12"/>
      <x:c r="N10" s="12"/>
      <x:c r="O10" s="12"/>
      <x:c r="P10" s="12"/>
      <x:c r="Q10" s="12"/>
      <x:c r="R10" s="12" t="str">
        <x:f>IF(I10="","",IFERROR(J10-K10,""))</x:f>
      </x:c>
      <x:c r="S10" s="12" t="str">
        <x:f>IF(I10="","",IFERROR(M10-L10,""))</x:f>
      </x:c>
      <x:c r="T10" s="34" t="str">
        <x:f>IF(I10="","",IFERROR(J10/I10,""))</x:f>
      </x:c>
      <x:c r="U10" s="34" t="str">
        <x:f>IF(I10="","",IFERROR(K10/I10,""))</x:f>
      </x:c>
      <x:c r="V10" s="34" t="str">
        <x:f>IF(I10="","",IFERROR(R10/I10,""))</x:f>
      </x:c>
      <x:c r="W10" s="34" t="str">
        <x:f>IF(I10="","",IFERROR(R10/J10,""))</x:f>
      </x:c>
      <x:c r="X10" s="34" t="str">
        <x:f>IF(I10="","",IFERROR(K10/J10,""))</x:f>
      </x:c>
      <x:c r="Y10" s="34" t="str">
        <x:f>IF(I10="","",IFERROR(L10/M10,""))</x:f>
      </x:c>
      <x:c r="Z10" s="35" t="str">
        <x:f>IF(I10="","",IFERROR(K10/R10,""))</x:f>
      </x:c>
      <x:c r="AA10" s="35" t="str">
        <x:f>IF(I10="","",IFERROR(L10/S10,""))</x:f>
      </x:c>
      <x:c r="AB10" s="12"/>
    </x:row>
    <x:row r="11">
      <x:c r="A11" s="12" t="str">
        <x:v>random_igra_3hp_cov100</x:v>
      </x:c>
      <x:c r="B11" s="12" t="str">
        <x:v>random</x:v>
      </x:c>
      <x:c r="C11" s="32" t="n">
        <x:v>1</x:v>
      </x:c>
      <x:c r="D11" s="12" t="str">
        <x:v>IGRA</x:v>
      </x:c>
      <x:c r="E11" s="12" t="str">
        <x:v>3HP</x:v>
      </x:c>
      <x:c r="F11" s="12" t="n">
        <x:v>1500</x:v>
      </x:c>
      <x:c r="G11" s="12" t="n">
        <x:v>2000</x:v>
      </x:c>
      <x:c r="H11" s="12" t="n">
        <x:v>1</x:v>
      </x:c>
      <x:c r="I11" s="12"/>
      <x:c r="J11" s="12"/>
      <x:c r="K11" s="12"/>
      <x:c r="L11" s="12"/>
      <x:c r="M11" s="12"/>
      <x:c r="N11" s="12"/>
      <x:c r="O11" s="12"/>
      <x:c r="P11" s="12"/>
      <x:c r="Q11" s="12"/>
      <x:c r="R11" s="12" t="str">
        <x:f>IF(I11="","",IFERROR(J11-K11,""))</x:f>
      </x:c>
      <x:c r="S11" s="12" t="str">
        <x:f>IF(I11="","",IFERROR(M11-L11,""))</x:f>
      </x:c>
      <x:c r="T11" s="34" t="str">
        <x:f>IF(I11="","",IFERROR(J11/I11,""))</x:f>
      </x:c>
      <x:c r="U11" s="34" t="str">
        <x:f>IF(I11="","",IFERROR(K11/I11,""))</x:f>
      </x:c>
      <x:c r="V11" s="34" t="str">
        <x:f>IF(I11="","",IFERROR(R11/I11,""))</x:f>
      </x:c>
      <x:c r="W11" s="34" t="str">
        <x:f>IF(I11="","",IFERROR(R11/J11,""))</x:f>
      </x:c>
      <x:c r="X11" s="34" t="str">
        <x:f>IF(I11="","",IFERROR(K11/J11,""))</x:f>
      </x:c>
      <x:c r="Y11" s="34" t="str">
        <x:f>IF(I11="","",IFERROR(L11/M11,""))</x:f>
      </x:c>
      <x:c r="Z11" s="35" t="str">
        <x:f>IF(I11="","",IFERROR(K11/R11,""))</x:f>
      </x:c>
      <x:c r="AA11" s="35" t="str">
        <x:f>IF(I11="","",IFERROR(L11/S11,""))</x:f>
      </x:c>
      <x:c r="AB11" s="12"/>
    </x:row>
    <x:row r="12">
      <x:c r="A12" s="12" t="str">
        <x:v>ltbi_igra_3hp_cov005</x:v>
      </x:c>
      <x:c r="B12" s="12" t="str">
        <x:v>ltbi</x:v>
      </x:c>
      <x:c r="C12" s="32" t="n">
        <x:v>0.05</x:v>
      </x:c>
      <x:c r="D12" s="12" t="str">
        <x:v>IGRA</x:v>
      </x:c>
      <x:c r="E12" s="12" t="str">
        <x:v>3HP</x:v>
      </x:c>
      <x:c r="F12" s="12" t="n">
        <x:v>1500</x:v>
      </x:c>
      <x:c r="G12" s="12" t="n">
        <x:v>2000</x:v>
      </x:c>
      <x:c r="H12" s="12" t="n">
        <x:v>1</x:v>
      </x:c>
      <x:c r="I12" s="12"/>
      <x:c r="J12" s="12"/>
      <x:c r="K12" s="12"/>
      <x:c r="L12" s="12"/>
      <x:c r="M12" s="12"/>
      <x:c r="N12" s="12"/>
      <x:c r="O12" s="12"/>
      <x:c r="P12" s="12"/>
      <x:c r="Q12" s="12"/>
      <x:c r="R12" s="12" t="str">
        <x:f>IF(I12="","",IFERROR(J12-K12,""))</x:f>
      </x:c>
      <x:c r="S12" s="12" t="str">
        <x:f>IF(I12="","",IFERROR(M12-L12,""))</x:f>
      </x:c>
      <x:c r="T12" s="34" t="str">
        <x:f>IF(I12="","",IFERROR(J12/I12,""))</x:f>
      </x:c>
      <x:c r="U12" s="34" t="str">
        <x:f>IF(I12="","",IFERROR(K12/I12,""))</x:f>
      </x:c>
      <x:c r="V12" s="34" t="str">
        <x:f>IF(I12="","",IFERROR(R12/I12,""))</x:f>
      </x:c>
      <x:c r="W12" s="34" t="str">
        <x:f>IF(I12="","",IFERROR(R12/J12,""))</x:f>
      </x:c>
      <x:c r="X12" s="34" t="str">
        <x:f>IF(I12="","",IFERROR(K12/J12,""))</x:f>
      </x:c>
      <x:c r="Y12" s="34" t="str">
        <x:f>IF(I12="","",IFERROR(L12/M12,""))</x:f>
      </x:c>
      <x:c r="Z12" s="35" t="str">
        <x:f>IF(I12="","",IFERROR(K12/R12,""))</x:f>
      </x:c>
      <x:c r="AA12" s="35" t="str">
        <x:f>IF(I12="","",IFERROR(L12/S12,""))</x:f>
      </x:c>
      <x:c r="AB12" s="12"/>
    </x:row>
    <x:row r="13">
      <x:c r="A13" s="12" t="str">
        <x:v>ltbi_igra_3hp_cov010</x:v>
      </x:c>
      <x:c r="B13" s="12" t="str">
        <x:v>ltbi</x:v>
      </x:c>
      <x:c r="C13" s="32" t="n">
        <x:v>0.1</x:v>
      </x:c>
      <x:c r="D13" s="12" t="str">
        <x:v>IGRA</x:v>
      </x:c>
      <x:c r="E13" s="12" t="str">
        <x:v>3HP</x:v>
      </x:c>
      <x:c r="F13" s="12" t="n">
        <x:v>1500</x:v>
      </x:c>
      <x:c r="G13" s="12" t="n">
        <x:v>2000</x:v>
      </x:c>
      <x:c r="H13" s="12" t="n">
        <x:v>1</x:v>
      </x:c>
      <x:c r="I13" s="12"/>
      <x:c r="J13" s="12"/>
      <x:c r="K13" s="12"/>
      <x:c r="L13" s="12"/>
      <x:c r="M13" s="12"/>
      <x:c r="N13" s="12"/>
      <x:c r="O13" s="12"/>
      <x:c r="P13" s="12"/>
      <x:c r="Q13" s="12"/>
      <x:c r="R13" s="12" t="str">
        <x:f>IF(I13="","",IFERROR(J13-K13,""))</x:f>
      </x:c>
      <x:c r="S13" s="12" t="str">
        <x:f>IF(I13="","",IFERROR(M13-L13,""))</x:f>
      </x:c>
      <x:c r="T13" s="34" t="str">
        <x:f>IF(I13="","",IFERROR(J13/I13,""))</x:f>
      </x:c>
      <x:c r="U13" s="34" t="str">
        <x:f>IF(I13="","",IFERROR(K13/I13,""))</x:f>
      </x:c>
      <x:c r="V13" s="34" t="str">
        <x:f>IF(I13="","",IFERROR(R13/I13,""))</x:f>
      </x:c>
      <x:c r="W13" s="34" t="str">
        <x:f>IF(I13="","",IFERROR(R13/J13,""))</x:f>
      </x:c>
      <x:c r="X13" s="34" t="str">
        <x:f>IF(I13="","",IFERROR(K13/J13,""))</x:f>
      </x:c>
      <x:c r="Y13" s="34" t="str">
        <x:f>IF(I13="","",IFERROR(L13/M13,""))</x:f>
      </x:c>
      <x:c r="Z13" s="35" t="str">
        <x:f>IF(I13="","",IFERROR(K13/R13,""))</x:f>
      </x:c>
      <x:c r="AA13" s="35" t="str">
        <x:f>IF(I13="","",IFERROR(L13/S13,""))</x:f>
      </x:c>
      <x:c r="AB13" s="12"/>
    </x:row>
    <x:row r="14">
      <x:c r="A14" s="12" t="str">
        <x:v>ltbi_igra_3hp_cov015</x:v>
      </x:c>
      <x:c r="B14" s="12" t="str">
        <x:v>ltbi</x:v>
      </x:c>
      <x:c r="C14" s="32" t="n">
        <x:v>0.15</x:v>
      </x:c>
      <x:c r="D14" s="12" t="str">
        <x:v>IGRA</x:v>
      </x:c>
      <x:c r="E14" s="12" t="str">
        <x:v>3HP</x:v>
      </x:c>
      <x:c r="F14" s="12" t="n">
        <x:v>1500</x:v>
      </x:c>
      <x:c r="G14" s="12" t="n">
        <x:v>2000</x:v>
      </x:c>
      <x:c r="H14" s="12" t="n">
        <x:v>1</x:v>
      </x:c>
      <x:c r="I14" s="12"/>
      <x:c r="J14" s="12"/>
      <x:c r="K14" s="12"/>
      <x:c r="L14" s="12"/>
      <x:c r="M14" s="12"/>
      <x:c r="N14" s="12"/>
      <x:c r="O14" s="12"/>
      <x:c r="P14" s="12"/>
      <x:c r="Q14" s="12"/>
      <x:c r="R14" s="12" t="str">
        <x:f>IF(I14="","",IFERROR(J14-K14,""))</x:f>
      </x:c>
      <x:c r="S14" s="12" t="str">
        <x:f>IF(I14="","",IFERROR(M14-L14,""))</x:f>
      </x:c>
      <x:c r="T14" s="34" t="str">
        <x:f>IF(I14="","",IFERROR(J14/I14,""))</x:f>
      </x:c>
      <x:c r="U14" s="34" t="str">
        <x:f>IF(I14="","",IFERROR(K14/I14,""))</x:f>
      </x:c>
      <x:c r="V14" s="34" t="str">
        <x:f>IF(I14="","",IFERROR(R14/I14,""))</x:f>
      </x:c>
      <x:c r="W14" s="34" t="str">
        <x:f>IF(I14="","",IFERROR(R14/J14,""))</x:f>
      </x:c>
      <x:c r="X14" s="34" t="str">
        <x:f>IF(I14="","",IFERROR(K14/J14,""))</x:f>
      </x:c>
      <x:c r="Y14" s="34" t="str">
        <x:f>IF(I14="","",IFERROR(L14/M14,""))</x:f>
      </x:c>
      <x:c r="Z14" s="35" t="str">
        <x:f>IF(I14="","",IFERROR(K14/R14,""))</x:f>
      </x:c>
      <x:c r="AA14" s="35" t="str">
        <x:f>IF(I14="","",IFERROR(L14/S14,""))</x:f>
      </x:c>
      <x:c r="AB14" s="12"/>
    </x:row>
    <x:row r="15">
      <x:c r="A15" s="12" t="str">
        <x:v>ltbi_igra_3hp_cov020</x:v>
      </x:c>
      <x:c r="B15" s="12" t="str">
        <x:v>ltbi</x:v>
      </x:c>
      <x:c r="C15" s="32" t="n">
        <x:v>0.2</x:v>
      </x:c>
      <x:c r="D15" s="12" t="str">
        <x:v>IGRA</x:v>
      </x:c>
      <x:c r="E15" s="12" t="str">
        <x:v>3HP</x:v>
      </x:c>
      <x:c r="F15" s="12" t="n">
        <x:v>1500</x:v>
      </x:c>
      <x:c r="G15" s="12" t="n">
        <x:v>2000</x:v>
      </x:c>
      <x:c r="H15" s="12" t="n">
        <x:v>1</x:v>
      </x:c>
      <x:c r="I15" s="12"/>
      <x:c r="J15" s="12"/>
      <x:c r="K15" s="12"/>
      <x:c r="L15" s="12"/>
      <x:c r="M15" s="12"/>
      <x:c r="N15" s="12"/>
      <x:c r="O15" s="12"/>
      <x:c r="P15" s="12"/>
      <x:c r="Q15" s="12"/>
      <x:c r="R15" s="12" t="str">
        <x:f>IF(I15="","",IFERROR(J15-K15,""))</x:f>
      </x:c>
      <x:c r="S15" s="12" t="str">
        <x:f>IF(I15="","",IFERROR(M15-L15,""))</x:f>
      </x:c>
      <x:c r="T15" s="34" t="str">
        <x:f>IF(I15="","",IFERROR(J15/I15,""))</x:f>
      </x:c>
      <x:c r="U15" s="34" t="str">
        <x:f>IF(I15="","",IFERROR(K15/I15,""))</x:f>
      </x:c>
      <x:c r="V15" s="34" t="str">
        <x:f>IF(I15="","",IFERROR(R15/I15,""))</x:f>
      </x:c>
      <x:c r="W15" s="34" t="str">
        <x:f>IF(I15="","",IFERROR(R15/J15,""))</x:f>
      </x:c>
      <x:c r="X15" s="34" t="str">
        <x:f>IF(I15="","",IFERROR(K15/J15,""))</x:f>
      </x:c>
      <x:c r="Y15" s="34" t="str">
        <x:f>IF(I15="","",IFERROR(L15/M15,""))</x:f>
      </x:c>
      <x:c r="Z15" s="35" t="str">
        <x:f>IF(I15="","",IFERROR(K15/R15,""))</x:f>
      </x:c>
      <x:c r="AA15" s="35" t="str">
        <x:f>IF(I15="","",IFERROR(L15/S15,""))</x:f>
      </x:c>
      <x:c r="AB15" s="12"/>
    </x:row>
    <x:row r="16">
      <x:c r="A16" s="12" t="str">
        <x:v>ltbi_igra_3hp_cov030</x:v>
      </x:c>
      <x:c r="B16" s="12" t="str">
        <x:v>ltbi</x:v>
      </x:c>
      <x:c r="C16" s="32" t="n">
        <x:v>0.3</x:v>
      </x:c>
      <x:c r="D16" s="12" t="str">
        <x:v>IGRA</x:v>
      </x:c>
      <x:c r="E16" s="12" t="str">
        <x:v>3HP</x:v>
      </x:c>
      <x:c r="F16" s="12" t="n">
        <x:v>1500</x:v>
      </x:c>
      <x:c r="G16" s="12" t="n">
        <x:v>2000</x:v>
      </x:c>
      <x:c r="H16" s="12" t="n">
        <x:v>1</x:v>
      </x:c>
      <x:c r="I16" s="12"/>
      <x:c r="J16" s="12"/>
      <x:c r="K16" s="12"/>
      <x:c r="L16" s="12"/>
      <x:c r="M16" s="12"/>
      <x:c r="N16" s="12"/>
      <x:c r="O16" s="12"/>
      <x:c r="P16" s="12"/>
      <x:c r="Q16" s="12"/>
      <x:c r="R16" s="12" t="str">
        <x:f>IF(I16="","",IFERROR(J16-K16,""))</x:f>
      </x:c>
      <x:c r="S16" s="12" t="str">
        <x:f>IF(I16="","",IFERROR(M16-L16,""))</x:f>
      </x:c>
      <x:c r="T16" s="34" t="str">
        <x:f>IF(I16="","",IFERROR(J16/I16,""))</x:f>
      </x:c>
      <x:c r="U16" s="34" t="str">
        <x:f>IF(I16="","",IFERROR(K16/I16,""))</x:f>
      </x:c>
      <x:c r="V16" s="34" t="str">
        <x:f>IF(I16="","",IFERROR(R16/I16,""))</x:f>
      </x:c>
      <x:c r="W16" s="34" t="str">
        <x:f>IF(I16="","",IFERROR(R16/J16,""))</x:f>
      </x:c>
      <x:c r="X16" s="34" t="str">
        <x:f>IF(I16="","",IFERROR(K16/J16,""))</x:f>
      </x:c>
      <x:c r="Y16" s="34" t="str">
        <x:f>IF(I16="","",IFERROR(L16/M16,""))</x:f>
      </x:c>
      <x:c r="Z16" s="35" t="str">
        <x:f>IF(I16="","",IFERROR(K16/R16,""))</x:f>
      </x:c>
      <x:c r="AA16" s="35" t="str">
        <x:f>IF(I16="","",IFERROR(L16/S16,""))</x:f>
      </x:c>
      <x:c r="AB16" s="12"/>
    </x:row>
    <x:row r="17">
      <x:c r="A17" s="12" t="str">
        <x:v>ltbi_igra_3hp_cov040</x:v>
      </x:c>
      <x:c r="B17" s="12" t="str">
        <x:v>ltbi</x:v>
      </x:c>
      <x:c r="C17" s="32" t="n">
        <x:v>0.4</x:v>
      </x:c>
      <x:c r="D17" s="12" t="str">
        <x:v>IGRA</x:v>
      </x:c>
      <x:c r="E17" s="12" t="str">
        <x:v>3HP</x:v>
      </x:c>
      <x:c r="F17" s="12" t="n">
        <x:v>1500</x:v>
      </x:c>
      <x:c r="G17" s="12" t="n">
        <x:v>2000</x:v>
      </x:c>
      <x:c r="H17" s="12" t="n">
        <x:v>1</x:v>
      </x:c>
      <x:c r="I17" s="12"/>
      <x:c r="J17" s="12"/>
      <x:c r="K17" s="12"/>
      <x:c r="L17" s="12"/>
      <x:c r="M17" s="12"/>
      <x:c r="N17" s="12"/>
      <x:c r="O17" s="12"/>
      <x:c r="P17" s="12"/>
      <x:c r="Q17" s="12"/>
      <x:c r="R17" s="12" t="str">
        <x:f>IF(I17="","",IFERROR(J17-K17,""))</x:f>
      </x:c>
      <x:c r="S17" s="12" t="str">
        <x:f>IF(I17="","",IFERROR(M17-L17,""))</x:f>
      </x:c>
      <x:c r="T17" s="34" t="str">
        <x:f>IF(I17="","",IFERROR(J17/I17,""))</x:f>
      </x:c>
      <x:c r="U17" s="34" t="str">
        <x:f>IF(I17="","",IFERROR(K17/I17,""))</x:f>
      </x:c>
      <x:c r="V17" s="34" t="str">
        <x:f>IF(I17="","",IFERROR(R17/I17,""))</x:f>
      </x:c>
      <x:c r="W17" s="34" t="str">
        <x:f>IF(I17="","",IFERROR(R17/J17,""))</x:f>
      </x:c>
      <x:c r="X17" s="34" t="str">
        <x:f>IF(I17="","",IFERROR(K17/J17,""))</x:f>
      </x:c>
      <x:c r="Y17" s="34" t="str">
        <x:f>IF(I17="","",IFERROR(L17/M17,""))</x:f>
      </x:c>
      <x:c r="Z17" s="35" t="str">
        <x:f>IF(I17="","",IFERROR(K17/R17,""))</x:f>
      </x:c>
      <x:c r="AA17" s="35" t="str">
        <x:f>IF(I17="","",IFERROR(L17/S17,""))</x:f>
      </x:c>
      <x:c r="AB17" s="12"/>
    </x:row>
    <x:row r="18">
      <x:c r="A18" s="12" t="str">
        <x:v>ltbi_igra_3hp_cov050</x:v>
      </x:c>
      <x:c r="B18" s="12" t="str">
        <x:v>ltbi</x:v>
      </x:c>
      <x:c r="C18" s="32" t="n">
        <x:v>0.5</x:v>
      </x:c>
      <x:c r="D18" s="12" t="str">
        <x:v>IGRA</x:v>
      </x:c>
      <x:c r="E18" s="12" t="str">
        <x:v>3HP</x:v>
      </x:c>
      <x:c r="F18" s="12" t="n">
        <x:v>1500</x:v>
      </x:c>
      <x:c r="G18" s="12" t="n">
        <x:v>2000</x:v>
      </x:c>
      <x:c r="H18" s="12" t="n">
        <x:v>1</x:v>
      </x:c>
      <x:c r="I18" s="12"/>
      <x:c r="J18" s="12"/>
      <x:c r="K18" s="12"/>
      <x:c r="L18" s="12"/>
      <x:c r="M18" s="12"/>
      <x:c r="N18" s="12"/>
      <x:c r="O18" s="12"/>
      <x:c r="P18" s="12"/>
      <x:c r="Q18" s="12"/>
      <x:c r="R18" s="12" t="str">
        <x:f>IF(I18="","",IFERROR(J18-K18,""))</x:f>
      </x:c>
      <x:c r="S18" s="12" t="str">
        <x:f>IF(I18="","",IFERROR(M18-L18,""))</x:f>
      </x:c>
      <x:c r="T18" s="34" t="str">
        <x:f>IF(I18="","",IFERROR(J18/I18,""))</x:f>
      </x:c>
      <x:c r="U18" s="34" t="str">
        <x:f>IF(I18="","",IFERROR(K18/I18,""))</x:f>
      </x:c>
      <x:c r="V18" s="34" t="str">
        <x:f>IF(I18="","",IFERROR(R18/I18,""))</x:f>
      </x:c>
      <x:c r="W18" s="34" t="str">
        <x:f>IF(I18="","",IFERROR(R18/J18,""))</x:f>
      </x:c>
      <x:c r="X18" s="34" t="str">
        <x:f>IF(I18="","",IFERROR(K18/J18,""))</x:f>
      </x:c>
      <x:c r="Y18" s="34" t="str">
        <x:f>IF(I18="","",IFERROR(L18/M18,""))</x:f>
      </x:c>
      <x:c r="Z18" s="35" t="str">
        <x:f>IF(I18="","",IFERROR(K18/R18,""))</x:f>
      </x:c>
      <x:c r="AA18" s="35" t="str">
        <x:f>IF(I18="","",IFERROR(L18/S18,""))</x:f>
      </x:c>
      <x:c r="AB18" s="12"/>
    </x:row>
    <x:row r="19">
      <x:c r="A19" s="12" t="str">
        <x:v>ltbi_igra_3hp_cov060</x:v>
      </x:c>
      <x:c r="B19" s="12" t="str">
        <x:v>ltbi</x:v>
      </x:c>
      <x:c r="C19" s="32" t="n">
        <x:v>0.6</x:v>
      </x:c>
      <x:c r="D19" s="12" t="str">
        <x:v>IGRA</x:v>
      </x:c>
      <x:c r="E19" s="12" t="str">
        <x:v>3HP</x:v>
      </x:c>
      <x:c r="F19" s="12" t="n">
        <x:v>1500</x:v>
      </x:c>
      <x:c r="G19" s="12" t="n">
        <x:v>2000</x:v>
      </x:c>
      <x:c r="H19" s="12" t="n">
        <x:v>1</x:v>
      </x:c>
      <x:c r="I19" s="12"/>
      <x:c r="J19" s="12"/>
      <x:c r="K19" s="12"/>
      <x:c r="L19" s="12"/>
      <x:c r="M19" s="12"/>
      <x:c r="N19" s="12"/>
      <x:c r="O19" s="12"/>
      <x:c r="P19" s="12"/>
      <x:c r="Q19" s="12"/>
      <x:c r="R19" s="12" t="str">
        <x:f>IF(I19="","",IFERROR(J19-K19,""))</x:f>
      </x:c>
      <x:c r="S19" s="12" t="str">
        <x:f>IF(I19="","",IFERROR(M19-L19,""))</x:f>
      </x:c>
      <x:c r="T19" s="34" t="str">
        <x:f>IF(I19="","",IFERROR(J19/I19,""))</x:f>
      </x:c>
      <x:c r="U19" s="34" t="str">
        <x:f>IF(I19="","",IFERROR(K19/I19,""))</x:f>
      </x:c>
      <x:c r="V19" s="34" t="str">
        <x:f>IF(I19="","",IFERROR(R19/I19,""))</x:f>
      </x:c>
      <x:c r="W19" s="34" t="str">
        <x:f>IF(I19="","",IFERROR(R19/J19,""))</x:f>
      </x:c>
      <x:c r="X19" s="34" t="str">
        <x:f>IF(I19="","",IFERROR(K19/J19,""))</x:f>
      </x:c>
      <x:c r="Y19" s="34" t="str">
        <x:f>IF(I19="","",IFERROR(L19/M19,""))</x:f>
      </x:c>
      <x:c r="Z19" s="35" t="str">
        <x:f>IF(I19="","",IFERROR(K19/R19,""))</x:f>
      </x:c>
      <x:c r="AA19" s="35" t="str">
        <x:f>IF(I19="","",IFERROR(L19/S19,""))</x:f>
      </x:c>
      <x:c r="AB19" s="12"/>
    </x:row>
    <x:row r="20">
      <x:c r="A20" s="12" t="str">
        <x:v>ltbi_igra_3hp_cov080</x:v>
      </x:c>
      <x:c r="B20" s="12" t="str">
        <x:v>ltbi</x:v>
      </x:c>
      <x:c r="C20" s="32" t="n">
        <x:v>0.8</x:v>
      </x:c>
      <x:c r="D20" s="12" t="str">
        <x:v>IGRA</x:v>
      </x:c>
      <x:c r="E20" s="12" t="str">
        <x:v>3HP</x:v>
      </x:c>
      <x:c r="F20" s="12" t="n">
        <x:v>1500</x:v>
      </x:c>
      <x:c r="G20" s="12" t="n">
        <x:v>2000</x:v>
      </x:c>
      <x:c r="H20" s="12" t="n">
        <x:v>1</x:v>
      </x:c>
      <x:c r="I20" s="12"/>
      <x:c r="J20" s="12"/>
      <x:c r="K20" s="12"/>
      <x:c r="L20" s="12"/>
      <x:c r="M20" s="12"/>
      <x:c r="N20" s="12"/>
      <x:c r="O20" s="12"/>
      <x:c r="P20" s="12"/>
      <x:c r="Q20" s="12"/>
      <x:c r="R20" s="12" t="str">
        <x:f>IF(I20="","",IFERROR(J20-K20,""))</x:f>
      </x:c>
      <x:c r="S20" s="12" t="str">
        <x:f>IF(I20="","",IFERROR(M20-L20,""))</x:f>
      </x:c>
      <x:c r="T20" s="34" t="str">
        <x:f>IF(I20="","",IFERROR(J20/I20,""))</x:f>
      </x:c>
      <x:c r="U20" s="34" t="str">
        <x:f>IF(I20="","",IFERROR(K20/I20,""))</x:f>
      </x:c>
      <x:c r="V20" s="34" t="str">
        <x:f>IF(I20="","",IFERROR(R20/I20,""))</x:f>
      </x:c>
      <x:c r="W20" s="34" t="str">
        <x:f>IF(I20="","",IFERROR(R20/J20,""))</x:f>
      </x:c>
      <x:c r="X20" s="34" t="str">
        <x:f>IF(I20="","",IFERROR(K20/J20,""))</x:f>
      </x:c>
      <x:c r="Y20" s="34" t="str">
        <x:f>IF(I20="","",IFERROR(L20/M20,""))</x:f>
      </x:c>
      <x:c r="Z20" s="35" t="str">
        <x:f>IF(I20="","",IFERROR(K20/R20,""))</x:f>
      </x:c>
      <x:c r="AA20" s="35" t="str">
        <x:f>IF(I20="","",IFERROR(L20/S20,""))</x:f>
      </x:c>
      <x:c r="AB20" s="12"/>
    </x:row>
    <x:row r="21">
      <x:c r="A21" s="12" t="str">
        <x:v>ltbi_igra_3hp_cov100</x:v>
      </x:c>
      <x:c r="B21" s="12" t="str">
        <x:v>ltbi</x:v>
      </x:c>
      <x:c r="C21" s="32" t="n">
        <x:v>1</x:v>
      </x:c>
      <x:c r="D21" s="12" t="str">
        <x:v>IGRA</x:v>
      </x:c>
      <x:c r="E21" s="12" t="str">
        <x:v>3HP</x:v>
      </x:c>
      <x:c r="F21" s="12" t="n">
        <x:v>1500</x:v>
      </x:c>
      <x:c r="G21" s="12" t="n">
        <x:v>2000</x:v>
      </x:c>
      <x:c r="H21" s="12" t="n">
        <x:v>1</x:v>
      </x:c>
      <x:c r="I21" s="12"/>
      <x:c r="J21" s="12"/>
      <x:c r="K21" s="12"/>
      <x:c r="L21" s="12"/>
      <x:c r="M21" s="12"/>
      <x:c r="N21" s="12"/>
      <x:c r="O21" s="12"/>
      <x:c r="P21" s="12"/>
      <x:c r="Q21" s="12"/>
      <x:c r="R21" s="12" t="str">
        <x:f>IF(I21="","",IFERROR(J21-K21,""))</x:f>
      </x:c>
      <x:c r="S21" s="12" t="str">
        <x:f>IF(I21="","",IFERROR(M21-L21,""))</x:f>
      </x:c>
      <x:c r="T21" s="34" t="str">
        <x:f>IF(I21="","",IFERROR(J21/I21,""))</x:f>
      </x:c>
      <x:c r="U21" s="34" t="str">
        <x:f>IF(I21="","",IFERROR(K21/I21,""))</x:f>
      </x:c>
      <x:c r="V21" s="34" t="str">
        <x:f>IF(I21="","",IFERROR(R21/I21,""))</x:f>
      </x:c>
      <x:c r="W21" s="34" t="str">
        <x:f>IF(I21="","",IFERROR(R21/J21,""))</x:f>
      </x:c>
      <x:c r="X21" s="34" t="str">
        <x:f>IF(I21="","",IFERROR(K21/J21,""))</x:f>
      </x:c>
      <x:c r="Y21" s="34" t="str">
        <x:f>IF(I21="","",IFERROR(L21/M21,""))</x:f>
      </x:c>
      <x:c r="Z21" s="35" t="str">
        <x:f>IF(I21="","",IFERROR(K21/R21,""))</x:f>
      </x:c>
      <x:c r="AA21" s="35" t="str">
        <x:f>IF(I21="","",IFERROR(L21/S21,""))</x:f>
      </x:c>
      <x:c r="AB21" s="12"/>
    </x:row>
    <x:row r="22">
      <x:c r="A22" s="12" t="str">
        <x:v>cure_igra_3hp_cov005</x:v>
      </x:c>
      <x:c r="B22" s="12" t="str">
        <x:v>cure</x:v>
      </x:c>
      <x:c r="C22" s="32" t="n">
        <x:v>0.05</x:v>
      </x:c>
      <x:c r="D22" s="12" t="str">
        <x:v>IGRA</x:v>
      </x:c>
      <x:c r="E22" s="12" t="str">
        <x:v>3HP</x:v>
      </x:c>
      <x:c r="F22" s="12" t="n">
        <x:v>1500</x:v>
      </x:c>
      <x:c r="G22" s="12" t="n">
        <x:v>2000</x:v>
      </x:c>
      <x:c r="H22" s="12" t="n">
        <x:v>1</x:v>
      </x:c>
      <x:c r="I22" s="12"/>
      <x:c r="J22" s="12"/>
      <x:c r="K22" s="12"/>
      <x:c r="L22" s="12"/>
      <x:c r="M22" s="12"/>
      <x:c r="N22" s="12"/>
      <x:c r="O22" s="12"/>
      <x:c r="P22" s="12"/>
      <x:c r="Q22" s="12"/>
      <x:c r="R22" s="12" t="str">
        <x:f>IF(I22="","",IFERROR(J22-K22,""))</x:f>
      </x:c>
      <x:c r="S22" s="12" t="str">
        <x:f>IF(I22="","",IFERROR(M22-L22,""))</x:f>
      </x:c>
      <x:c r="T22" s="34" t="str">
        <x:f>IF(I22="","",IFERROR(J22/I22,""))</x:f>
      </x:c>
      <x:c r="U22" s="34" t="str">
        <x:f>IF(I22="","",IFERROR(K22/I22,""))</x:f>
      </x:c>
      <x:c r="V22" s="34" t="str">
        <x:f>IF(I22="","",IFERROR(R22/I22,""))</x:f>
      </x:c>
      <x:c r="W22" s="34" t="str">
        <x:f>IF(I22="","",IFERROR(R22/J22,""))</x:f>
      </x:c>
      <x:c r="X22" s="34" t="str">
        <x:f>IF(I22="","",IFERROR(K22/J22,""))</x:f>
      </x:c>
      <x:c r="Y22" s="34" t="str">
        <x:f>IF(I22="","",IFERROR(L22/M22,""))</x:f>
      </x:c>
      <x:c r="Z22" s="35" t="str">
        <x:f>IF(I22="","",IFERROR(K22/R22,""))</x:f>
      </x:c>
      <x:c r="AA22" s="35" t="str">
        <x:f>IF(I22="","",IFERROR(L22/S22,""))</x:f>
      </x:c>
      <x:c r="AB22" s="12"/>
    </x:row>
    <x:row r="23">
      <x:c r="A23" s="12" t="str">
        <x:v>cure_igra_3hp_cov010</x:v>
      </x:c>
      <x:c r="B23" s="12" t="str">
        <x:v>cure</x:v>
      </x:c>
      <x:c r="C23" s="32" t="n">
        <x:v>0.1</x:v>
      </x:c>
      <x:c r="D23" s="12" t="str">
        <x:v>IGRA</x:v>
      </x:c>
      <x:c r="E23" s="12" t="str">
        <x:v>3HP</x:v>
      </x:c>
      <x:c r="F23" s="12" t="n">
        <x:v>1500</x:v>
      </x:c>
      <x:c r="G23" s="12" t="n">
        <x:v>2000</x:v>
      </x:c>
      <x:c r="H23" s="12" t="n">
        <x:v>1</x:v>
      </x:c>
      <x:c r="I23" s="12"/>
      <x:c r="J23" s="12"/>
      <x:c r="K23" s="12"/>
      <x:c r="L23" s="12"/>
      <x:c r="M23" s="12"/>
      <x:c r="N23" s="12"/>
      <x:c r="O23" s="12"/>
      <x:c r="P23" s="12"/>
      <x:c r="Q23" s="12"/>
      <x:c r="R23" s="12" t="str">
        <x:f>IF(I23="","",IFERROR(J23-K23,""))</x:f>
      </x:c>
      <x:c r="S23" s="12" t="str">
        <x:f>IF(I23="","",IFERROR(M23-L23,""))</x:f>
      </x:c>
      <x:c r="T23" s="34" t="str">
        <x:f>IF(I23="","",IFERROR(J23/I23,""))</x:f>
      </x:c>
      <x:c r="U23" s="34" t="str">
        <x:f>IF(I23="","",IFERROR(K23/I23,""))</x:f>
      </x:c>
      <x:c r="V23" s="34" t="str">
        <x:f>IF(I23="","",IFERROR(R23/I23,""))</x:f>
      </x:c>
      <x:c r="W23" s="34" t="str">
        <x:f>IF(I23="","",IFERROR(R23/J23,""))</x:f>
      </x:c>
      <x:c r="X23" s="34" t="str">
        <x:f>IF(I23="","",IFERROR(K23/J23,""))</x:f>
      </x:c>
      <x:c r="Y23" s="34" t="str">
        <x:f>IF(I23="","",IFERROR(L23/M23,""))</x:f>
      </x:c>
      <x:c r="Z23" s="35" t="str">
        <x:f>IF(I23="","",IFERROR(K23/R23,""))</x:f>
      </x:c>
      <x:c r="AA23" s="35" t="str">
        <x:f>IF(I23="","",IFERROR(L23/S23,""))</x:f>
      </x:c>
      <x:c r="AB23" s="12"/>
    </x:row>
    <x:row r="24">
      <x:c r="A24" s="12" t="str">
        <x:v>cure_igra_3hp_cov015</x:v>
      </x:c>
      <x:c r="B24" s="12" t="str">
        <x:v>cure</x:v>
      </x:c>
      <x:c r="C24" s="32" t="n">
        <x:v>0.15</x:v>
      </x:c>
      <x:c r="D24" s="12" t="str">
        <x:v>IGRA</x:v>
      </x:c>
      <x:c r="E24" s="12" t="str">
        <x:v>3HP</x:v>
      </x:c>
      <x:c r="F24" s="12" t="n">
        <x:v>1500</x:v>
      </x:c>
      <x:c r="G24" s="12" t="n">
        <x:v>2000</x:v>
      </x:c>
      <x:c r="H24" s="12" t="n">
        <x:v>1</x:v>
      </x:c>
      <x:c r="I24" s="12"/>
      <x:c r="J24" s="12"/>
      <x:c r="K24" s="12"/>
      <x:c r="L24" s="12"/>
      <x:c r="M24" s="12"/>
      <x:c r="N24" s="12"/>
      <x:c r="O24" s="12"/>
      <x:c r="P24" s="12"/>
      <x:c r="Q24" s="12"/>
      <x:c r="R24" s="12" t="str">
        <x:f>IF(I24="","",IFERROR(J24-K24,""))</x:f>
      </x:c>
      <x:c r="S24" s="12" t="str">
        <x:f>IF(I24="","",IFERROR(M24-L24,""))</x:f>
      </x:c>
      <x:c r="T24" s="34" t="str">
        <x:f>IF(I24="","",IFERROR(J24/I24,""))</x:f>
      </x:c>
      <x:c r="U24" s="34" t="str">
        <x:f>IF(I24="","",IFERROR(K24/I24,""))</x:f>
      </x:c>
      <x:c r="V24" s="34" t="str">
        <x:f>IF(I24="","",IFERROR(R24/I24,""))</x:f>
      </x:c>
      <x:c r="W24" s="34" t="str">
        <x:f>IF(I24="","",IFERROR(R24/J24,""))</x:f>
      </x:c>
      <x:c r="X24" s="34" t="str">
        <x:f>IF(I24="","",IFERROR(K24/J24,""))</x:f>
      </x:c>
      <x:c r="Y24" s="34" t="str">
        <x:f>IF(I24="","",IFERROR(L24/M24,""))</x:f>
      </x:c>
      <x:c r="Z24" s="35" t="str">
        <x:f>IF(I24="","",IFERROR(K24/R24,""))</x:f>
      </x:c>
      <x:c r="AA24" s="35" t="str">
        <x:f>IF(I24="","",IFERROR(L24/S24,""))</x:f>
      </x:c>
      <x:c r="AB24" s="12"/>
    </x:row>
    <x:row r="25">
      <x:c r="A25" s="12" t="str">
        <x:v>cure_igra_3hp_cov020</x:v>
      </x:c>
      <x:c r="B25" s="12" t="str">
        <x:v>cure</x:v>
      </x:c>
      <x:c r="C25" s="32" t="n">
        <x:v>0.2</x:v>
      </x:c>
      <x:c r="D25" s="12" t="str">
        <x:v>IGRA</x:v>
      </x:c>
      <x:c r="E25" s="12" t="str">
        <x:v>3HP</x:v>
      </x:c>
      <x:c r="F25" s="12" t="n">
        <x:v>1500</x:v>
      </x:c>
      <x:c r="G25" s="12" t="n">
        <x:v>2000</x:v>
      </x:c>
      <x:c r="H25" s="12" t="n">
        <x:v>1</x:v>
      </x:c>
      <x:c r="I25" s="12"/>
      <x:c r="J25" s="12"/>
      <x:c r="K25" s="12"/>
      <x:c r="L25" s="12"/>
      <x:c r="M25" s="12"/>
      <x:c r="N25" s="12"/>
      <x:c r="O25" s="12"/>
      <x:c r="P25" s="12"/>
      <x:c r="Q25" s="12"/>
      <x:c r="R25" s="12" t="str">
        <x:f>IF(I25="","",IFERROR(J25-K25,""))</x:f>
      </x:c>
      <x:c r="S25" s="12" t="str">
        <x:f>IF(I25="","",IFERROR(M25-L25,""))</x:f>
      </x:c>
      <x:c r="T25" s="34" t="str">
        <x:f>IF(I25="","",IFERROR(J25/I25,""))</x:f>
      </x:c>
      <x:c r="U25" s="34" t="str">
        <x:f>IF(I25="","",IFERROR(K25/I25,""))</x:f>
      </x:c>
      <x:c r="V25" s="34" t="str">
        <x:f>IF(I25="","",IFERROR(R25/I25,""))</x:f>
      </x:c>
      <x:c r="W25" s="34" t="str">
        <x:f>IF(I25="","",IFERROR(R25/J25,""))</x:f>
      </x:c>
      <x:c r="X25" s="34" t="str">
        <x:f>IF(I25="","",IFERROR(K25/J25,""))</x:f>
      </x:c>
      <x:c r="Y25" s="34" t="str">
        <x:f>IF(I25="","",IFERROR(L25/M25,""))</x:f>
      </x:c>
      <x:c r="Z25" s="35" t="str">
        <x:f>IF(I25="","",IFERROR(K25/R25,""))</x:f>
      </x:c>
      <x:c r="AA25" s="35" t="str">
        <x:f>IF(I25="","",IFERROR(L25/S25,""))</x:f>
      </x:c>
      <x:c r="AB25" s="12"/>
    </x:row>
    <x:row r="26">
      <x:c r="A26" s="12" t="str">
        <x:v>cure_igra_3hp_cov030</x:v>
      </x:c>
      <x:c r="B26" s="12" t="str">
        <x:v>cure</x:v>
      </x:c>
      <x:c r="C26" s="32" t="n">
        <x:v>0.3</x:v>
      </x:c>
      <x:c r="D26" s="12" t="str">
        <x:v>IGRA</x:v>
      </x:c>
      <x:c r="E26" s="12" t="str">
        <x:v>3HP</x:v>
      </x:c>
      <x:c r="F26" s="12" t="n">
        <x:v>1500</x:v>
      </x:c>
      <x:c r="G26" s="12" t="n">
        <x:v>2000</x:v>
      </x:c>
      <x:c r="H26" s="12" t="n">
        <x:v>1</x:v>
      </x:c>
      <x:c r="I26" s="12"/>
      <x:c r="J26" s="12"/>
      <x:c r="K26" s="12"/>
      <x:c r="L26" s="12"/>
      <x:c r="M26" s="12"/>
      <x:c r="N26" s="12"/>
      <x:c r="O26" s="12"/>
      <x:c r="P26" s="12"/>
      <x:c r="Q26" s="12"/>
      <x:c r="R26" s="12" t="str">
        <x:f>IF(I26="","",IFERROR(J26-K26,""))</x:f>
      </x:c>
      <x:c r="S26" s="12" t="str">
        <x:f>IF(I26="","",IFERROR(M26-L26,""))</x:f>
      </x:c>
      <x:c r="T26" s="34" t="str">
        <x:f>IF(I26="","",IFERROR(J26/I26,""))</x:f>
      </x:c>
      <x:c r="U26" s="34" t="str">
        <x:f>IF(I26="","",IFERROR(K26/I26,""))</x:f>
      </x:c>
      <x:c r="V26" s="34" t="str">
        <x:f>IF(I26="","",IFERROR(R26/I26,""))</x:f>
      </x:c>
      <x:c r="W26" s="34" t="str">
        <x:f>IF(I26="","",IFERROR(R26/J26,""))</x:f>
      </x:c>
      <x:c r="X26" s="34" t="str">
        <x:f>IF(I26="","",IFERROR(K26/J26,""))</x:f>
      </x:c>
      <x:c r="Y26" s="34" t="str">
        <x:f>IF(I26="","",IFERROR(L26/M26,""))</x:f>
      </x:c>
      <x:c r="Z26" s="35" t="str">
        <x:f>IF(I26="","",IFERROR(K26/R26,""))</x:f>
      </x:c>
      <x:c r="AA26" s="35" t="str">
        <x:f>IF(I26="","",IFERROR(L26/S26,""))</x:f>
      </x:c>
      <x:c r="AB26" s="12"/>
    </x:row>
    <x:row r="27">
      <x:c r="A27" s="12" t="str">
        <x:v>cure_igra_3hp_cov040</x:v>
      </x:c>
      <x:c r="B27" s="12" t="str">
        <x:v>cure</x:v>
      </x:c>
      <x:c r="C27" s="32" t="n">
        <x:v>0.4</x:v>
      </x:c>
      <x:c r="D27" s="12" t="str">
        <x:v>IGRA</x:v>
      </x:c>
      <x:c r="E27" s="12" t="str">
        <x:v>3HP</x:v>
      </x:c>
      <x:c r="F27" s="12" t="n">
        <x:v>1500</x:v>
      </x:c>
      <x:c r="G27" s="12" t="n">
        <x:v>2000</x:v>
      </x:c>
      <x:c r="H27" s="12" t="n">
        <x:v>1</x:v>
      </x:c>
      <x:c r="I27" s="12"/>
      <x:c r="J27" s="12"/>
      <x:c r="K27" s="12"/>
      <x:c r="L27" s="12"/>
      <x:c r="M27" s="12"/>
      <x:c r="N27" s="12"/>
      <x:c r="O27" s="12"/>
      <x:c r="P27" s="12"/>
      <x:c r="Q27" s="12"/>
      <x:c r="R27" s="12" t="str">
        <x:f>IF(I27="","",IFERROR(J27-K27,""))</x:f>
      </x:c>
      <x:c r="S27" s="12" t="str">
        <x:f>IF(I27="","",IFERROR(M27-L27,""))</x:f>
      </x:c>
      <x:c r="T27" s="34" t="str">
        <x:f>IF(I27="","",IFERROR(J27/I27,""))</x:f>
      </x:c>
      <x:c r="U27" s="34" t="str">
        <x:f>IF(I27="","",IFERROR(K27/I27,""))</x:f>
      </x:c>
      <x:c r="V27" s="34" t="str">
        <x:f>IF(I27="","",IFERROR(R27/I27,""))</x:f>
      </x:c>
      <x:c r="W27" s="34" t="str">
        <x:f>IF(I27="","",IFERROR(R27/J27,""))</x:f>
      </x:c>
      <x:c r="X27" s="34" t="str">
        <x:f>IF(I27="","",IFERROR(K27/J27,""))</x:f>
      </x:c>
      <x:c r="Y27" s="34" t="str">
        <x:f>IF(I27="","",IFERROR(L27/M27,""))</x:f>
      </x:c>
      <x:c r="Z27" s="35" t="str">
        <x:f>IF(I27="","",IFERROR(K27/R27,""))</x:f>
      </x:c>
      <x:c r="AA27" s="35" t="str">
        <x:f>IF(I27="","",IFERROR(L27/S27,""))</x:f>
      </x:c>
      <x:c r="AB27" s="12"/>
    </x:row>
    <x:row r="28">
      <x:c r="A28" s="12" t="str">
        <x:v>cure_igra_3hp_cov050</x:v>
      </x:c>
      <x:c r="B28" s="12" t="str">
        <x:v>cure</x:v>
      </x:c>
      <x:c r="C28" s="32" t="n">
        <x:v>0.5</x:v>
      </x:c>
      <x:c r="D28" s="12" t="str">
        <x:v>IGRA</x:v>
      </x:c>
      <x:c r="E28" s="12" t="str">
        <x:v>3HP</x:v>
      </x:c>
      <x:c r="F28" s="12" t="n">
        <x:v>1500</x:v>
      </x:c>
      <x:c r="G28" s="12" t="n">
        <x:v>2000</x:v>
      </x:c>
      <x:c r="H28" s="12" t="n">
        <x:v>1</x:v>
      </x:c>
      <x:c r="I28" s="12"/>
      <x:c r="J28" s="12"/>
      <x:c r="K28" s="12"/>
      <x:c r="L28" s="12"/>
      <x:c r="M28" s="12"/>
      <x:c r="N28" s="12"/>
      <x:c r="O28" s="12"/>
      <x:c r="P28" s="12"/>
      <x:c r="Q28" s="12"/>
      <x:c r="R28" s="12" t="str">
        <x:f>IF(I28="","",IFERROR(J28-K28,""))</x:f>
      </x:c>
      <x:c r="S28" s="12" t="str">
        <x:f>IF(I28="","",IFERROR(M28-L28,""))</x:f>
      </x:c>
      <x:c r="T28" s="34" t="str">
        <x:f>IF(I28="","",IFERROR(J28/I28,""))</x:f>
      </x:c>
      <x:c r="U28" s="34" t="str">
        <x:f>IF(I28="","",IFERROR(K28/I28,""))</x:f>
      </x:c>
      <x:c r="V28" s="34" t="str">
        <x:f>IF(I28="","",IFERROR(R28/I28,""))</x:f>
      </x:c>
      <x:c r="W28" s="34" t="str">
        <x:f>IF(I28="","",IFERROR(R28/J28,""))</x:f>
      </x:c>
      <x:c r="X28" s="34" t="str">
        <x:f>IF(I28="","",IFERROR(K28/J28,""))</x:f>
      </x:c>
      <x:c r="Y28" s="34" t="str">
        <x:f>IF(I28="","",IFERROR(L28/M28,""))</x:f>
      </x:c>
      <x:c r="Z28" s="35" t="str">
        <x:f>IF(I28="","",IFERROR(K28/R28,""))</x:f>
      </x:c>
      <x:c r="AA28" s="35" t="str">
        <x:f>IF(I28="","",IFERROR(L28/S28,""))</x:f>
      </x:c>
      <x:c r="AB28" s="12"/>
    </x:row>
    <x:row r="29">
      <x:c r="A29" s="12" t="str">
        <x:v>cure_igra_3hp_cov060</x:v>
      </x:c>
      <x:c r="B29" s="12" t="str">
        <x:v>cure</x:v>
      </x:c>
      <x:c r="C29" s="32" t="n">
        <x:v>0.6</x:v>
      </x:c>
      <x:c r="D29" s="12" t="str">
        <x:v>IGRA</x:v>
      </x:c>
      <x:c r="E29" s="12" t="str">
        <x:v>3HP</x:v>
      </x:c>
      <x:c r="F29" s="12" t="n">
        <x:v>1500</x:v>
      </x:c>
      <x:c r="G29" s="12" t="n">
        <x:v>2000</x:v>
      </x:c>
      <x:c r="H29" s="12" t="n">
        <x:v>1</x:v>
      </x:c>
      <x:c r="I29" s="12"/>
      <x:c r="J29" s="12"/>
      <x:c r="K29" s="12"/>
      <x:c r="L29" s="12"/>
      <x:c r="M29" s="12"/>
      <x:c r="N29" s="12"/>
      <x:c r="O29" s="12"/>
      <x:c r="P29" s="12"/>
      <x:c r="Q29" s="12"/>
      <x:c r="R29" s="12" t="str">
        <x:f>IF(I29="","",IFERROR(J29-K29,""))</x:f>
      </x:c>
      <x:c r="S29" s="12" t="str">
        <x:f>IF(I29="","",IFERROR(M29-L29,""))</x:f>
      </x:c>
      <x:c r="T29" s="34" t="str">
        <x:f>IF(I29="","",IFERROR(J29/I29,""))</x:f>
      </x:c>
      <x:c r="U29" s="34" t="str">
        <x:f>IF(I29="","",IFERROR(K29/I29,""))</x:f>
      </x:c>
      <x:c r="V29" s="34" t="str">
        <x:f>IF(I29="","",IFERROR(R29/I29,""))</x:f>
      </x:c>
      <x:c r="W29" s="34" t="str">
        <x:f>IF(I29="","",IFERROR(R29/J29,""))</x:f>
      </x:c>
      <x:c r="X29" s="34" t="str">
        <x:f>IF(I29="","",IFERROR(K29/J29,""))</x:f>
      </x:c>
      <x:c r="Y29" s="34" t="str">
        <x:f>IF(I29="","",IFERROR(L29/M29,""))</x:f>
      </x:c>
      <x:c r="Z29" s="35" t="str">
        <x:f>IF(I29="","",IFERROR(K29/R29,""))</x:f>
      </x:c>
      <x:c r="AA29" s="35" t="str">
        <x:f>IF(I29="","",IFERROR(L29/S29,""))</x:f>
      </x:c>
      <x:c r="AB29" s="12"/>
    </x:row>
    <x:row r="30">
      <x:c r="A30" s="12" t="str">
        <x:v>cure_igra_3hp_cov080</x:v>
      </x:c>
      <x:c r="B30" s="12" t="str">
        <x:v>cure</x:v>
      </x:c>
      <x:c r="C30" s="32" t="n">
        <x:v>0.8</x:v>
      </x:c>
      <x:c r="D30" s="12" t="str">
        <x:v>IGRA</x:v>
      </x:c>
      <x:c r="E30" s="12" t="str">
        <x:v>3HP</x:v>
      </x:c>
      <x:c r="F30" s="12" t="n">
        <x:v>1500</x:v>
      </x:c>
      <x:c r="G30" s="12" t="n">
        <x:v>2000</x:v>
      </x:c>
      <x:c r="H30" s="12" t="n">
        <x:v>1</x:v>
      </x:c>
      <x:c r="I30" s="12"/>
      <x:c r="J30" s="12"/>
      <x:c r="K30" s="12"/>
      <x:c r="L30" s="12"/>
      <x:c r="M30" s="12"/>
      <x:c r="N30" s="12"/>
      <x:c r="O30" s="12"/>
      <x:c r="P30" s="12"/>
      <x:c r="Q30" s="12"/>
      <x:c r="R30" s="12" t="str">
        <x:f>IF(I30="","",IFERROR(J30-K30,""))</x:f>
      </x:c>
      <x:c r="S30" s="12" t="str">
        <x:f>IF(I30="","",IFERROR(M30-L30,""))</x:f>
      </x:c>
      <x:c r="T30" s="34" t="str">
        <x:f>IF(I30="","",IFERROR(J30/I30,""))</x:f>
      </x:c>
      <x:c r="U30" s="34" t="str">
        <x:f>IF(I30="","",IFERROR(K30/I30,""))</x:f>
      </x:c>
      <x:c r="V30" s="34" t="str">
        <x:f>IF(I30="","",IFERROR(R30/I30,""))</x:f>
      </x:c>
      <x:c r="W30" s="34" t="str">
        <x:f>IF(I30="","",IFERROR(R30/J30,""))</x:f>
      </x:c>
      <x:c r="X30" s="34" t="str">
        <x:f>IF(I30="","",IFERROR(K30/J30,""))</x:f>
      </x:c>
      <x:c r="Y30" s="34" t="str">
        <x:f>IF(I30="","",IFERROR(L30/M30,""))</x:f>
      </x:c>
      <x:c r="Z30" s="35" t="str">
        <x:f>IF(I30="","",IFERROR(K30/R30,""))</x:f>
      </x:c>
      <x:c r="AA30" s="35" t="str">
        <x:f>IF(I30="","",IFERROR(L30/S30,""))</x:f>
      </x:c>
      <x:c r="AB30" s="12"/>
    </x:row>
    <x:row r="31">
      <x:c r="A31" s="12" t="str">
        <x:v>cure_igra_3hp_cov100</x:v>
      </x:c>
      <x:c r="B31" s="12" t="str">
        <x:v>cure</x:v>
      </x:c>
      <x:c r="C31" s="32" t="n">
        <x:v>1</x:v>
      </x:c>
      <x:c r="D31" s="12" t="str">
        <x:v>IGRA</x:v>
      </x:c>
      <x:c r="E31" s="12" t="str">
        <x:v>3HP</x:v>
      </x:c>
      <x:c r="F31" s="12" t="n">
        <x:v>1500</x:v>
      </x:c>
      <x:c r="G31" s="12" t="n">
        <x:v>2000</x:v>
      </x:c>
      <x:c r="H31" s="12" t="n">
        <x:v>1</x:v>
      </x:c>
      <x:c r="I31" s="12"/>
      <x:c r="J31" s="12"/>
      <x:c r="K31" s="12"/>
      <x:c r="L31" s="12"/>
      <x:c r="M31" s="12"/>
      <x:c r="N31" s="12"/>
      <x:c r="O31" s="12"/>
      <x:c r="P31" s="12"/>
      <x:c r="Q31" s="12"/>
      <x:c r="R31" s="12" t="str">
        <x:f>IF(I31="","",IFERROR(J31-K31,""))</x:f>
      </x:c>
      <x:c r="S31" s="12" t="str">
        <x:f>IF(I31="","",IFERROR(M31-L31,""))</x:f>
      </x:c>
      <x:c r="T31" s="34" t="str">
        <x:f>IF(I31="","",IFERROR(J31/I31,""))</x:f>
      </x:c>
      <x:c r="U31" s="34" t="str">
        <x:f>IF(I31="","",IFERROR(K31/I31,""))</x:f>
      </x:c>
      <x:c r="V31" s="34" t="str">
        <x:f>IF(I31="","",IFERROR(R31/I31,""))</x:f>
      </x:c>
      <x:c r="W31" s="34" t="str">
        <x:f>IF(I31="","",IFERROR(R31/J31,""))</x:f>
      </x:c>
      <x:c r="X31" s="34" t="str">
        <x:f>IF(I31="","",IFERROR(K31/J31,""))</x:f>
      </x:c>
      <x:c r="Y31" s="34" t="str">
        <x:f>IF(I31="","",IFERROR(L31/M31,""))</x:f>
      </x:c>
      <x:c r="Z31" s="35" t="str">
        <x:f>IF(I31="","",IFERROR(K31/R31,""))</x:f>
      </x:c>
      <x:c r="AA31" s="35" t="str">
        <x:f>IF(I31="","",IFERROR(L31/S31,""))</x:f>
      </x:c>
      <x:c r="AB31" s="12"/>
    </x:row>
    <x:row r="32">
      <x:c r="A32" s="12" t="str">
        <x:v>prevent_igra_3hp_cov005</x:v>
      </x:c>
      <x:c r="B32" s="12" t="str">
        <x:v>prevent</x:v>
      </x:c>
      <x:c r="C32" s="32" t="n">
        <x:v>0.05</x:v>
      </x:c>
      <x:c r="D32" s="12" t="str">
        <x:v>IGRA</x:v>
      </x:c>
      <x:c r="E32" s="12" t="str">
        <x:v>3HP</x:v>
      </x:c>
      <x:c r="F32" s="12" t="n">
        <x:v>1500</x:v>
      </x:c>
      <x:c r="G32" s="12" t="n">
        <x:v>2000</x:v>
      </x:c>
      <x:c r="H32" s="12" t="n">
        <x:v>1</x:v>
      </x:c>
      <x:c r="I32" s="12"/>
      <x:c r="J32" s="12"/>
      <x:c r="K32" s="12"/>
      <x:c r="L32" s="12"/>
      <x:c r="M32" s="12"/>
      <x:c r="N32" s="12"/>
      <x:c r="O32" s="12"/>
      <x:c r="P32" s="12"/>
      <x:c r="Q32" s="12"/>
      <x:c r="R32" s="12" t="str">
        <x:f>IF(I32="","",IFERROR(J32-K32,""))</x:f>
      </x:c>
      <x:c r="S32" s="12" t="str">
        <x:f>IF(I32="","",IFERROR(M32-L32,""))</x:f>
      </x:c>
      <x:c r="T32" s="34" t="str">
        <x:f>IF(I32="","",IFERROR(J32/I32,""))</x:f>
      </x:c>
      <x:c r="U32" s="34" t="str">
        <x:f>IF(I32="","",IFERROR(K32/I32,""))</x:f>
      </x:c>
      <x:c r="V32" s="34" t="str">
        <x:f>IF(I32="","",IFERROR(R32/I32,""))</x:f>
      </x:c>
      <x:c r="W32" s="34" t="str">
        <x:f>IF(I32="","",IFERROR(R32/J32,""))</x:f>
      </x:c>
      <x:c r="X32" s="34" t="str">
        <x:f>IF(I32="","",IFERROR(K32/J32,""))</x:f>
      </x:c>
      <x:c r="Y32" s="34" t="str">
        <x:f>IF(I32="","",IFERROR(L32/M32,""))</x:f>
      </x:c>
      <x:c r="Z32" s="35" t="str">
        <x:f>IF(I32="","",IFERROR(K32/R32,""))</x:f>
      </x:c>
      <x:c r="AA32" s="35" t="str">
        <x:f>IF(I32="","",IFERROR(L32/S32,""))</x:f>
      </x:c>
      <x:c r="AB32" s="12"/>
    </x:row>
    <x:row r="33">
      <x:c r="A33" s="12" t="str">
        <x:v>prevent_igra_3hp_cov010</x:v>
      </x:c>
      <x:c r="B33" s="12" t="str">
        <x:v>prevent</x:v>
      </x:c>
      <x:c r="C33" s="32" t="n">
        <x:v>0.1</x:v>
      </x:c>
      <x:c r="D33" s="12" t="str">
        <x:v>IGRA</x:v>
      </x:c>
      <x:c r="E33" s="12" t="str">
        <x:v>3HP</x:v>
      </x:c>
      <x:c r="F33" s="12" t="n">
        <x:v>1500</x:v>
      </x:c>
      <x:c r="G33" s="12" t="n">
        <x:v>2000</x:v>
      </x:c>
      <x:c r="H33" s="12" t="n">
        <x:v>1</x:v>
      </x:c>
      <x:c r="I33" s="12"/>
      <x:c r="J33" s="12"/>
      <x:c r="K33" s="12"/>
      <x:c r="L33" s="12"/>
      <x:c r="M33" s="12"/>
      <x:c r="N33" s="12"/>
      <x:c r="O33" s="12"/>
      <x:c r="P33" s="12"/>
      <x:c r="Q33" s="12"/>
      <x:c r="R33" s="12" t="str">
        <x:f>IF(I33="","",IFERROR(J33-K33,""))</x:f>
      </x:c>
      <x:c r="S33" s="12" t="str">
        <x:f>IF(I33="","",IFERROR(M33-L33,""))</x:f>
      </x:c>
      <x:c r="T33" s="34" t="str">
        <x:f>IF(I33="","",IFERROR(J33/I33,""))</x:f>
      </x:c>
      <x:c r="U33" s="34" t="str">
        <x:f>IF(I33="","",IFERROR(K33/I33,""))</x:f>
      </x:c>
      <x:c r="V33" s="34" t="str">
        <x:f>IF(I33="","",IFERROR(R33/I33,""))</x:f>
      </x:c>
      <x:c r="W33" s="34" t="str">
        <x:f>IF(I33="","",IFERROR(R33/J33,""))</x:f>
      </x:c>
      <x:c r="X33" s="34" t="str">
        <x:f>IF(I33="","",IFERROR(K33/J33,""))</x:f>
      </x:c>
      <x:c r="Y33" s="34" t="str">
        <x:f>IF(I33="","",IFERROR(L33/M33,""))</x:f>
      </x:c>
      <x:c r="Z33" s="35" t="str">
        <x:f>IF(I33="","",IFERROR(K33/R33,""))</x:f>
      </x:c>
      <x:c r="AA33" s="35" t="str">
        <x:f>IF(I33="","",IFERROR(L33/S33,""))</x:f>
      </x:c>
      <x:c r="AB33" s="12"/>
    </x:row>
    <x:row r="34">
      <x:c r="A34" s="12" t="str">
        <x:v>prevent_igra_3hp_cov015</x:v>
      </x:c>
      <x:c r="B34" s="12" t="str">
        <x:v>prevent</x:v>
      </x:c>
      <x:c r="C34" s="32" t="n">
        <x:v>0.15</x:v>
      </x:c>
      <x:c r="D34" s="12" t="str">
        <x:v>IGRA</x:v>
      </x:c>
      <x:c r="E34" s="12" t="str">
        <x:v>3HP</x:v>
      </x:c>
      <x:c r="F34" s="12" t="n">
        <x:v>1500</x:v>
      </x:c>
      <x:c r="G34" s="12" t="n">
        <x:v>2000</x:v>
      </x:c>
      <x:c r="H34" s="12" t="n">
        <x:v>1</x:v>
      </x:c>
      <x:c r="I34" s="12"/>
      <x:c r="J34" s="12"/>
      <x:c r="K34" s="12"/>
      <x:c r="L34" s="12"/>
      <x:c r="M34" s="12"/>
      <x:c r="N34" s="12"/>
      <x:c r="O34" s="12"/>
      <x:c r="P34" s="12"/>
      <x:c r="Q34" s="12"/>
      <x:c r="R34" s="12" t="str">
        <x:f>IF(I34="","",IFERROR(J34-K34,""))</x:f>
      </x:c>
      <x:c r="S34" s="12" t="str">
        <x:f>IF(I34="","",IFERROR(M34-L34,""))</x:f>
      </x:c>
      <x:c r="T34" s="34" t="str">
        <x:f>IF(I34="","",IFERROR(J34/I34,""))</x:f>
      </x:c>
      <x:c r="U34" s="34" t="str">
        <x:f>IF(I34="","",IFERROR(K34/I34,""))</x:f>
      </x:c>
      <x:c r="V34" s="34" t="str">
        <x:f>IF(I34="","",IFERROR(R34/I34,""))</x:f>
      </x:c>
      <x:c r="W34" s="34" t="str">
        <x:f>IF(I34="","",IFERROR(R34/J34,""))</x:f>
      </x:c>
      <x:c r="X34" s="34" t="str">
        <x:f>IF(I34="","",IFERROR(K34/J34,""))</x:f>
      </x:c>
      <x:c r="Y34" s="34" t="str">
        <x:f>IF(I34="","",IFERROR(L34/M34,""))</x:f>
      </x:c>
      <x:c r="Z34" s="35" t="str">
        <x:f>IF(I34="","",IFERROR(K34/R34,""))</x:f>
      </x:c>
      <x:c r="AA34" s="35" t="str">
        <x:f>IF(I34="","",IFERROR(L34/S34,""))</x:f>
      </x:c>
      <x:c r="AB34" s="12"/>
    </x:row>
    <x:row r="35">
      <x:c r="A35" s="12" t="str">
        <x:v>prevent_igra_3hp_cov020</x:v>
      </x:c>
      <x:c r="B35" s="12" t="str">
        <x:v>prevent</x:v>
      </x:c>
      <x:c r="C35" s="32" t="n">
        <x:v>0.2</x:v>
      </x:c>
      <x:c r="D35" s="12" t="str">
        <x:v>IGRA</x:v>
      </x:c>
      <x:c r="E35" s="12" t="str">
        <x:v>3HP</x:v>
      </x:c>
      <x:c r="F35" s="12" t="n">
        <x:v>1500</x:v>
      </x:c>
      <x:c r="G35" s="12" t="n">
        <x:v>2000</x:v>
      </x:c>
      <x:c r="H35" s="12" t="n">
        <x:v>1</x:v>
      </x:c>
      <x:c r="I35" s="12"/>
      <x:c r="J35" s="12"/>
      <x:c r="K35" s="12"/>
      <x:c r="L35" s="12"/>
      <x:c r="M35" s="12"/>
      <x:c r="N35" s="12"/>
      <x:c r="O35" s="12"/>
      <x:c r="P35" s="12"/>
      <x:c r="Q35" s="12"/>
      <x:c r="R35" s="12" t="str">
        <x:f>IF(I35="","",IFERROR(J35-K35,""))</x:f>
      </x:c>
      <x:c r="S35" s="12" t="str">
        <x:f>IF(I35="","",IFERROR(M35-L35,""))</x:f>
      </x:c>
      <x:c r="T35" s="34" t="str">
        <x:f>IF(I35="","",IFERROR(J35/I35,""))</x:f>
      </x:c>
      <x:c r="U35" s="34" t="str">
        <x:f>IF(I35="","",IFERROR(K35/I35,""))</x:f>
      </x:c>
      <x:c r="V35" s="34" t="str">
        <x:f>IF(I35="","",IFERROR(R35/I35,""))</x:f>
      </x:c>
      <x:c r="W35" s="34" t="str">
        <x:f>IF(I35="","",IFERROR(R35/J35,""))</x:f>
      </x:c>
      <x:c r="X35" s="34" t="str">
        <x:f>IF(I35="","",IFERROR(K35/J35,""))</x:f>
      </x:c>
      <x:c r="Y35" s="34" t="str">
        <x:f>IF(I35="","",IFERROR(L35/M35,""))</x:f>
      </x:c>
      <x:c r="Z35" s="35" t="str">
        <x:f>IF(I35="","",IFERROR(K35/R35,""))</x:f>
      </x:c>
      <x:c r="AA35" s="35" t="str">
        <x:f>IF(I35="","",IFERROR(L35/S35,""))</x:f>
      </x:c>
      <x:c r="AB35" s="12"/>
    </x:row>
    <x:row r="36">
      <x:c r="A36" s="12" t="str">
        <x:v>prevent_igra_3hp_cov030</x:v>
      </x:c>
      <x:c r="B36" s="12" t="str">
        <x:v>prevent</x:v>
      </x:c>
      <x:c r="C36" s="32" t="n">
        <x:v>0.3</x:v>
      </x:c>
      <x:c r="D36" s="12" t="str">
        <x:v>IGRA</x:v>
      </x:c>
      <x:c r="E36" s="12" t="str">
        <x:v>3HP</x:v>
      </x:c>
      <x:c r="F36" s="12" t="n">
        <x:v>1500</x:v>
      </x:c>
      <x:c r="G36" s="12" t="n">
        <x:v>2000</x:v>
      </x:c>
      <x:c r="H36" s="12" t="n">
        <x:v>1</x:v>
      </x:c>
      <x:c r="I36" s="12"/>
      <x:c r="J36" s="12"/>
      <x:c r="K36" s="12"/>
      <x:c r="L36" s="12"/>
      <x:c r="M36" s="12"/>
      <x:c r="N36" s="12"/>
      <x:c r="O36" s="12"/>
      <x:c r="P36" s="12"/>
      <x:c r="Q36" s="12"/>
      <x:c r="R36" s="12" t="str">
        <x:f>IF(I36="","",IFERROR(J36-K36,""))</x:f>
      </x:c>
      <x:c r="S36" s="12" t="str">
        <x:f>IF(I36="","",IFERROR(M36-L36,""))</x:f>
      </x:c>
      <x:c r="T36" s="34" t="str">
        <x:f>IF(I36="","",IFERROR(J36/I36,""))</x:f>
      </x:c>
      <x:c r="U36" s="34" t="str">
        <x:f>IF(I36="","",IFERROR(K36/I36,""))</x:f>
      </x:c>
      <x:c r="V36" s="34" t="str">
        <x:f>IF(I36="","",IFERROR(R36/I36,""))</x:f>
      </x:c>
      <x:c r="W36" s="34" t="str">
        <x:f>IF(I36="","",IFERROR(R36/J36,""))</x:f>
      </x:c>
      <x:c r="X36" s="34" t="str">
        <x:f>IF(I36="","",IFERROR(K36/J36,""))</x:f>
      </x:c>
      <x:c r="Y36" s="34" t="str">
        <x:f>IF(I36="","",IFERROR(L36/M36,""))</x:f>
      </x:c>
      <x:c r="Z36" s="35" t="str">
        <x:f>IF(I36="","",IFERROR(K36/R36,""))</x:f>
      </x:c>
      <x:c r="AA36" s="35" t="str">
        <x:f>IF(I36="","",IFERROR(L36/S36,""))</x:f>
      </x:c>
      <x:c r="AB36" s="12"/>
    </x:row>
    <x:row r="37">
      <x:c r="A37" s="12" t="str">
        <x:v>prevent_igra_3hp_cov040</x:v>
      </x:c>
      <x:c r="B37" s="12" t="str">
        <x:v>prevent</x:v>
      </x:c>
      <x:c r="C37" s="32" t="n">
        <x:v>0.4</x:v>
      </x:c>
      <x:c r="D37" s="12" t="str">
        <x:v>IGRA</x:v>
      </x:c>
      <x:c r="E37" s="12" t="str">
        <x:v>3HP</x:v>
      </x:c>
      <x:c r="F37" s="12" t="n">
        <x:v>1500</x:v>
      </x:c>
      <x:c r="G37" s="12" t="n">
        <x:v>2000</x:v>
      </x:c>
      <x:c r="H37" s="12" t="n">
        <x:v>1</x:v>
      </x:c>
      <x:c r="I37" s="12"/>
      <x:c r="J37" s="12"/>
      <x:c r="K37" s="12"/>
      <x:c r="L37" s="12"/>
      <x:c r="M37" s="12"/>
      <x:c r="N37" s="12"/>
      <x:c r="O37" s="12"/>
      <x:c r="P37" s="12"/>
      <x:c r="Q37" s="12"/>
      <x:c r="R37" s="12" t="str">
        <x:f>IF(I37="","",IFERROR(J37-K37,""))</x:f>
      </x:c>
      <x:c r="S37" s="12" t="str">
        <x:f>IF(I37="","",IFERROR(M37-L37,""))</x:f>
      </x:c>
      <x:c r="T37" s="34" t="str">
        <x:f>IF(I37="","",IFERROR(J37/I37,""))</x:f>
      </x:c>
      <x:c r="U37" s="34" t="str">
        <x:f>IF(I37="","",IFERROR(K37/I37,""))</x:f>
      </x:c>
      <x:c r="V37" s="34" t="str">
        <x:f>IF(I37="","",IFERROR(R37/I37,""))</x:f>
      </x:c>
      <x:c r="W37" s="34" t="str">
        <x:f>IF(I37="","",IFERROR(R37/J37,""))</x:f>
      </x:c>
      <x:c r="X37" s="34" t="str">
        <x:f>IF(I37="","",IFERROR(K37/J37,""))</x:f>
      </x:c>
      <x:c r="Y37" s="34" t="str">
        <x:f>IF(I37="","",IFERROR(L37/M37,""))</x:f>
      </x:c>
      <x:c r="Z37" s="35" t="str">
        <x:f>IF(I37="","",IFERROR(K37/R37,""))</x:f>
      </x:c>
      <x:c r="AA37" s="35" t="str">
        <x:f>IF(I37="","",IFERROR(L37/S37,""))</x:f>
      </x:c>
      <x:c r="AB37" s="12"/>
    </x:row>
    <x:row r="38">
      <x:c r="A38" s="12" t="str">
        <x:v>prevent_igra_3hp_cov050</x:v>
      </x:c>
      <x:c r="B38" s="12" t="str">
        <x:v>prevent</x:v>
      </x:c>
      <x:c r="C38" s="32" t="n">
        <x:v>0.5</x:v>
      </x:c>
      <x:c r="D38" s="12" t="str">
        <x:v>IGRA</x:v>
      </x:c>
      <x:c r="E38" s="12" t="str">
        <x:v>3HP</x:v>
      </x:c>
      <x:c r="F38" s="12" t="n">
        <x:v>1500</x:v>
      </x:c>
      <x:c r="G38" s="12" t="n">
        <x:v>2000</x:v>
      </x:c>
      <x:c r="H38" s="12" t="n">
        <x:v>1</x:v>
      </x:c>
      <x:c r="I38" s="12"/>
      <x:c r="J38" s="12"/>
      <x:c r="K38" s="12"/>
      <x:c r="L38" s="12"/>
      <x:c r="M38" s="12"/>
      <x:c r="N38" s="12"/>
      <x:c r="O38" s="12"/>
      <x:c r="P38" s="12"/>
      <x:c r="Q38" s="12"/>
      <x:c r="R38" s="12" t="str">
        <x:f>IF(I38="","",IFERROR(J38-K38,""))</x:f>
      </x:c>
      <x:c r="S38" s="12" t="str">
        <x:f>IF(I38="","",IFERROR(M38-L38,""))</x:f>
      </x:c>
      <x:c r="T38" s="34" t="str">
        <x:f>IF(I38="","",IFERROR(J38/I38,""))</x:f>
      </x:c>
      <x:c r="U38" s="34" t="str">
        <x:f>IF(I38="","",IFERROR(K38/I38,""))</x:f>
      </x:c>
      <x:c r="V38" s="34" t="str">
        <x:f>IF(I38="","",IFERROR(R38/I38,""))</x:f>
      </x:c>
      <x:c r="W38" s="34" t="str">
        <x:f>IF(I38="","",IFERROR(R38/J38,""))</x:f>
      </x:c>
      <x:c r="X38" s="34" t="str">
        <x:f>IF(I38="","",IFERROR(K38/J38,""))</x:f>
      </x:c>
      <x:c r="Y38" s="34" t="str">
        <x:f>IF(I38="","",IFERROR(L38/M38,""))</x:f>
      </x:c>
      <x:c r="Z38" s="35" t="str">
        <x:f>IF(I38="","",IFERROR(K38/R38,""))</x:f>
      </x:c>
      <x:c r="AA38" s="35" t="str">
        <x:f>IF(I38="","",IFERROR(L38/S38,""))</x:f>
      </x:c>
      <x:c r="AB38" s="12"/>
    </x:row>
    <x:row r="39">
      <x:c r="A39" s="12" t="str">
        <x:v>prevent_igra_3hp_cov060</x:v>
      </x:c>
      <x:c r="B39" s="12" t="str">
        <x:v>prevent</x:v>
      </x:c>
      <x:c r="C39" s="32" t="n">
        <x:v>0.6</x:v>
      </x:c>
      <x:c r="D39" s="12" t="str">
        <x:v>IGRA</x:v>
      </x:c>
      <x:c r="E39" s="12" t="str">
        <x:v>3HP</x:v>
      </x:c>
      <x:c r="F39" s="12" t="n">
        <x:v>1500</x:v>
      </x:c>
      <x:c r="G39" s="12" t="n">
        <x:v>2000</x:v>
      </x:c>
      <x:c r="H39" s="12" t="n">
        <x:v>1</x:v>
      </x:c>
      <x:c r="I39" s="12"/>
      <x:c r="J39" s="12"/>
      <x:c r="K39" s="12"/>
      <x:c r="L39" s="12"/>
      <x:c r="M39" s="12"/>
      <x:c r="N39" s="12"/>
      <x:c r="O39" s="12"/>
      <x:c r="P39" s="12"/>
      <x:c r="Q39" s="12"/>
      <x:c r="R39" s="12" t="str">
        <x:f>IF(I39="","",IFERROR(J39-K39,""))</x:f>
      </x:c>
      <x:c r="S39" s="12" t="str">
        <x:f>IF(I39="","",IFERROR(M39-L39,""))</x:f>
      </x:c>
      <x:c r="T39" s="34" t="str">
        <x:f>IF(I39="","",IFERROR(J39/I39,""))</x:f>
      </x:c>
      <x:c r="U39" s="34" t="str">
        <x:f>IF(I39="","",IFERROR(K39/I39,""))</x:f>
      </x:c>
      <x:c r="V39" s="34" t="str">
        <x:f>IF(I39="","",IFERROR(R39/I39,""))</x:f>
      </x:c>
      <x:c r="W39" s="34" t="str">
        <x:f>IF(I39="","",IFERROR(R39/J39,""))</x:f>
      </x:c>
      <x:c r="X39" s="34" t="str">
        <x:f>IF(I39="","",IFERROR(K39/J39,""))</x:f>
      </x:c>
      <x:c r="Y39" s="34" t="str">
        <x:f>IF(I39="","",IFERROR(L39/M39,""))</x:f>
      </x:c>
      <x:c r="Z39" s="35" t="str">
        <x:f>IF(I39="","",IFERROR(K39/R39,""))</x:f>
      </x:c>
      <x:c r="AA39" s="35" t="str">
        <x:f>IF(I39="","",IFERROR(L39/S39,""))</x:f>
      </x:c>
      <x:c r="AB39" s="12"/>
    </x:row>
    <x:row r="40">
      <x:c r="A40" s="12" t="str">
        <x:v>prevent_igra_3hp_cov080</x:v>
      </x:c>
      <x:c r="B40" s="12" t="str">
        <x:v>prevent</x:v>
      </x:c>
      <x:c r="C40" s="32" t="n">
        <x:v>0.8</x:v>
      </x:c>
      <x:c r="D40" s="12" t="str">
        <x:v>IGRA</x:v>
      </x:c>
      <x:c r="E40" s="12" t="str">
        <x:v>3HP</x:v>
      </x:c>
      <x:c r="F40" s="12" t="n">
        <x:v>1500</x:v>
      </x:c>
      <x:c r="G40" s="12" t="n">
        <x:v>2000</x:v>
      </x:c>
      <x:c r="H40" s="12" t="n">
        <x:v>1</x:v>
      </x:c>
      <x:c r="I40" s="12"/>
      <x:c r="J40" s="12"/>
      <x:c r="K40" s="12"/>
      <x:c r="L40" s="12"/>
      <x:c r="M40" s="12"/>
      <x:c r="N40" s="12"/>
      <x:c r="O40" s="12"/>
      <x:c r="P40" s="12"/>
      <x:c r="Q40" s="12"/>
      <x:c r="R40" s="12" t="str">
        <x:f>IF(I40="","",IFERROR(J40-K40,""))</x:f>
      </x:c>
      <x:c r="S40" s="12" t="str">
        <x:f>IF(I40="","",IFERROR(M40-L40,""))</x:f>
      </x:c>
      <x:c r="T40" s="34" t="str">
        <x:f>IF(I40="","",IFERROR(J40/I40,""))</x:f>
      </x:c>
      <x:c r="U40" s="34" t="str">
        <x:f>IF(I40="","",IFERROR(K40/I40,""))</x:f>
      </x:c>
      <x:c r="V40" s="34" t="str">
        <x:f>IF(I40="","",IFERROR(R40/I40,""))</x:f>
      </x:c>
      <x:c r="W40" s="34" t="str">
        <x:f>IF(I40="","",IFERROR(R40/J40,""))</x:f>
      </x:c>
      <x:c r="X40" s="34" t="str">
        <x:f>IF(I40="","",IFERROR(K40/J40,""))</x:f>
      </x:c>
      <x:c r="Y40" s="34" t="str">
        <x:f>IF(I40="","",IFERROR(L40/M40,""))</x:f>
      </x:c>
      <x:c r="Z40" s="35" t="str">
        <x:f>IF(I40="","",IFERROR(K40/R40,""))</x:f>
      </x:c>
      <x:c r="AA40" s="35" t="str">
        <x:f>IF(I40="","",IFERROR(L40/S40,""))</x:f>
      </x:c>
      <x:c r="AB40" s="12"/>
    </x:row>
    <x:row r="41">
      <x:c r="A41" s="12" t="str">
        <x:v>prevent_igra_3hp_cov100</x:v>
      </x:c>
      <x:c r="B41" s="12" t="str">
        <x:v>prevent</x:v>
      </x:c>
      <x:c r="C41" s="32" t="n">
        <x:v>1</x:v>
      </x:c>
      <x:c r="D41" s="12" t="str">
        <x:v>IGRA</x:v>
      </x:c>
      <x:c r="E41" s="12" t="str">
        <x:v>3HP</x:v>
      </x:c>
      <x:c r="F41" s="12" t="n">
        <x:v>1500</x:v>
      </x:c>
      <x:c r="G41" s="12" t="n">
        <x:v>2000</x:v>
      </x:c>
      <x:c r="H41" s="12" t="n">
        <x:v>1</x:v>
      </x:c>
      <x:c r="I41" s="12"/>
      <x:c r="J41" s="12"/>
      <x:c r="K41" s="12"/>
      <x:c r="L41" s="12"/>
      <x:c r="M41" s="12"/>
      <x:c r="N41" s="12"/>
      <x:c r="O41" s="12"/>
      <x:c r="P41" s="12"/>
      <x:c r="Q41" s="12"/>
      <x:c r="R41" s="12" t="str">
        <x:f>IF(I41="","",IFERROR(J41-K41,""))</x:f>
      </x:c>
      <x:c r="S41" s="12" t="str">
        <x:f>IF(I41="","",IFERROR(M41-L41,""))</x:f>
      </x:c>
      <x:c r="T41" s="34" t="str">
        <x:f>IF(I41="","",IFERROR(J41/I41,""))</x:f>
      </x:c>
      <x:c r="U41" s="34" t="str">
        <x:f>IF(I41="","",IFERROR(K41/I41,""))</x:f>
      </x:c>
      <x:c r="V41" s="34" t="str">
        <x:f>IF(I41="","",IFERROR(R41/I41,""))</x:f>
      </x:c>
      <x:c r="W41" s="34" t="str">
        <x:f>IF(I41="","",IFERROR(R41/J41,""))</x:f>
      </x:c>
      <x:c r="X41" s="34" t="str">
        <x:f>IF(I41="","",IFERROR(K41/J41,""))</x:f>
      </x:c>
      <x:c r="Y41" s="34" t="str">
        <x:f>IF(I41="","",IFERROR(L41/M41,""))</x:f>
      </x:c>
      <x:c r="Z41" s="35" t="str">
        <x:f>IF(I41="","",IFERROR(K41/R41,""))</x:f>
      </x:c>
      <x:c r="AA41" s="35" t="str">
        <x:f>IF(I41="","",IFERROR(L41/S41,""))</x:f>
      </x:c>
      <x:c r="AB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</x:row>
  </x:sheetData>
  <x:pageMargins left="0.7" right="0.7" top="0.75" bottom="0.75" header="0.3" footer="0.3"/>
  <x:tableParts count="1">
    <x:tablePart xmlns:r="http://schemas.openxmlformats.org/officeDocument/2006/relationships" r:id="R6b7bcb72e4fb40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.880000114440918" hidden="0" customWidth="1"/>
    <x:col min="3" max="3" width="7.630000114440918" hidden="0" customWidth="1"/>
    <x:col min="4" max="4" width="8.5" hidden="0" customWidth="1"/>
    <x:col min="5" max="5" width="14.75" hidden="0" customWidth="1"/>
    <x:col min="6" max="6" width="14.380000114440918" hidden="0" customWidth="1"/>
    <x:col min="8" max="8" width="20.1299991607666" hidden="0" customWidth="1"/>
    <x:col min="9" max="9" width="6.880000114440918" hidden="0" customWidth="1"/>
    <x:col min="10" max="10" width="7.630000114440918" hidden="0" customWidth="1"/>
    <x:col min="11" max="11" width="4.25" hidden="0" customWidth="1"/>
    <x:col min="12" max="12" width="15.380000114440918" hidden="0" customWidth="1"/>
    <x:col min="13" max="13" width="13" hidden="0" customWidth="1"/>
  </x:cols>
  <x:sheetData>
    <x:row r="1">
      <x:c r="A1" s="12" t="str">
        <x:v>Chart-ready source ranges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</x:row>
    <x:row r="3">
      <x:c r="A3" s="18" t="str">
        <x:v>scenario_id</x:v>
      </x:c>
      <x:c r="B3" s="18" t="str">
        <x:v>Strategy</x:v>
      </x:c>
      <x:c r="C3" s="18" t="str">
        <x:v>Coverage</x:v>
      </x:c>
      <x:c r="D3" s="18" t="str">
        <x:v>nScreened</x:v>
      </x:c>
      <x:c r="E3" s="18" t="str">
        <x:v>False positive tests</x:v>
      </x:c>
      <x:c r="F3" s="18" t="str">
        <x:v>True positive tests</x:v>
      </x:c>
      <x:c r="G3" s="12"/>
      <x:c r="H3" s="18" t="str">
        <x:v>scenario_id</x:v>
      </x:c>
      <x:c r="I3" s="18" t="str">
        <x:v>Strategy</x:v>
      </x:c>
      <x:c r="J3" s="18" t="str">
        <x:v>Coverage</x:v>
      </x:c>
      <x:c r="K3" s="18" t="str">
        <x:v>PPV</x:v>
      </x:c>
      <x:c r="L3" s="18" t="str">
        <x:v>False positive share</x:v>
      </x:c>
      <x:c r="M3" s="18" t="str">
        <x:v>FP treated share</x:v>
      </x:c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</x:row>
    <x:row r="4">
      <x:c r="A4" s="12" t="str">
        <x:f>False_Positive_Deep_Dive!A2</x:f>
        <x:v>random_igra_3hp_cov005</x:v>
      </x:c>
      <x:c r="B4" s="12" t="str">
        <x:f>False_Positive_Deep_Dive!B2</x:f>
        <x:v>random</x:v>
      </x:c>
      <x:c r="C4" s="32" t="n">
        <x:f>False_Positive_Deep_Dive!C2</x:f>
        <x:v>0.05</x:v>
      </x:c>
      <x:c r="D4" s="12" t="n">
        <x:f>False_Positive_Deep_Dive!I2</x:f>
        <x:v>0</x:v>
      </x:c>
      <x:c r="E4" s="12" t="n">
        <x:f>False_Positive_Deep_Dive!K2</x:f>
        <x:v>0</x:v>
      </x:c>
      <x:c r="F4" s="12" t="str">
        <x:f>False_Positive_Deep_Dive!R2</x:f>
      </x:c>
      <x:c r="G4" s="12"/>
      <x:c r="H4" s="12" t="str">
        <x:f>False_Positive_Deep_Dive!A2</x:f>
        <x:v>random_igra_3hp_cov005</x:v>
      </x:c>
      <x:c r="I4" s="12" t="str">
        <x:f>False_Positive_Deep_Dive!B2</x:f>
        <x:v>random</x:v>
      </x:c>
      <x:c r="J4" s="12" t="n">
        <x:f>False_Positive_Deep_Dive!C2</x:f>
        <x:v>0.05</x:v>
      </x:c>
      <x:c r="K4" s="34" t="str">
        <x:f>False_Positive_Deep_Dive!W2</x:f>
      </x:c>
      <x:c r="L4" s="34" t="str">
        <x:f>False_Positive_Deep_Dive!X2</x:f>
      </x:c>
      <x:c r="M4" s="34" t="str">
        <x:f>False_Positive_Deep_Dive!Y2</x:f>
      </x:c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</x:row>
    <x:row r="5">
      <x:c r="A5" s="12" t="str">
        <x:f>False_Positive_Deep_Dive!A3</x:f>
        <x:v>random_igra_3hp_cov010</x:v>
      </x:c>
      <x:c r="B5" s="12" t="str">
        <x:f>False_Positive_Deep_Dive!B3</x:f>
        <x:v>random</x:v>
      </x:c>
      <x:c r="C5" s="32" t="n">
        <x:f>False_Positive_Deep_Dive!C3</x:f>
        <x:v>0.1</x:v>
      </x:c>
      <x:c r="D5" s="12" t="n">
        <x:f>False_Positive_Deep_Dive!I3</x:f>
        <x:v>0</x:v>
      </x:c>
      <x:c r="E5" s="12" t="n">
        <x:f>False_Positive_Deep_Dive!K3</x:f>
        <x:v>0</x:v>
      </x:c>
      <x:c r="F5" s="12" t="str">
        <x:f>False_Positive_Deep_Dive!R3</x:f>
      </x:c>
      <x:c r="G5" s="12"/>
      <x:c r="H5" s="12" t="str">
        <x:f>False_Positive_Deep_Dive!A3</x:f>
        <x:v>random_igra_3hp_cov010</x:v>
      </x:c>
      <x:c r="I5" s="12" t="str">
        <x:f>False_Positive_Deep_Dive!B3</x:f>
        <x:v>random</x:v>
      </x:c>
      <x:c r="J5" s="12" t="n">
        <x:f>False_Positive_Deep_Dive!C3</x:f>
        <x:v>0.1</x:v>
      </x:c>
      <x:c r="K5" s="34" t="str">
        <x:f>False_Positive_Deep_Dive!W3</x:f>
      </x:c>
      <x:c r="L5" s="34" t="str">
        <x:f>False_Positive_Deep_Dive!X3</x:f>
      </x:c>
      <x:c r="M5" s="34" t="str">
        <x:f>False_Positive_Deep_Dive!Y3</x:f>
      </x:c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</x:row>
    <x:row r="6">
      <x:c r="A6" s="12" t="str">
        <x:f>False_Positive_Deep_Dive!A4</x:f>
        <x:v>random_igra_3hp_cov015</x:v>
      </x:c>
      <x:c r="B6" s="12" t="str">
        <x:f>False_Positive_Deep_Dive!B4</x:f>
        <x:v>random</x:v>
      </x:c>
      <x:c r="C6" s="32" t="n">
        <x:f>False_Positive_Deep_Dive!C4</x:f>
        <x:v>0.15</x:v>
      </x:c>
      <x:c r="D6" s="12" t="n">
        <x:f>False_Positive_Deep_Dive!I4</x:f>
        <x:v>0</x:v>
      </x:c>
      <x:c r="E6" s="12" t="n">
        <x:f>False_Positive_Deep_Dive!K4</x:f>
        <x:v>0</x:v>
      </x:c>
      <x:c r="F6" s="12" t="str">
        <x:f>False_Positive_Deep_Dive!R4</x:f>
      </x:c>
      <x:c r="G6" s="12"/>
      <x:c r="H6" s="12" t="str">
        <x:f>False_Positive_Deep_Dive!A4</x:f>
        <x:v>random_igra_3hp_cov015</x:v>
      </x:c>
      <x:c r="I6" s="12" t="str">
        <x:f>False_Positive_Deep_Dive!B4</x:f>
        <x:v>random</x:v>
      </x:c>
      <x:c r="J6" s="12" t="n">
        <x:f>False_Positive_Deep_Dive!C4</x:f>
        <x:v>0.15</x:v>
      </x:c>
      <x:c r="K6" s="34" t="str">
        <x:f>False_Positive_Deep_Dive!W4</x:f>
      </x:c>
      <x:c r="L6" s="34" t="str">
        <x:f>False_Positive_Deep_Dive!X4</x:f>
      </x:c>
      <x:c r="M6" s="34" t="str">
        <x:f>False_Positive_Deep_Dive!Y4</x:f>
      </x:c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</x:row>
    <x:row r="7">
      <x:c r="A7" s="12" t="str">
        <x:f>False_Positive_Deep_Dive!A5</x:f>
        <x:v>random_igra_3hp_cov020</x:v>
      </x:c>
      <x:c r="B7" s="12" t="str">
        <x:f>False_Positive_Deep_Dive!B5</x:f>
        <x:v>random</x:v>
      </x:c>
      <x:c r="C7" s="32" t="n">
        <x:f>False_Positive_Deep_Dive!C5</x:f>
        <x:v>0.2</x:v>
      </x:c>
      <x:c r="D7" s="12" t="n">
        <x:f>False_Positive_Deep_Dive!I5</x:f>
        <x:v>0</x:v>
      </x:c>
      <x:c r="E7" s="12" t="n">
        <x:f>False_Positive_Deep_Dive!K5</x:f>
        <x:v>0</x:v>
      </x:c>
      <x:c r="F7" s="12" t="str">
        <x:f>False_Positive_Deep_Dive!R5</x:f>
      </x:c>
      <x:c r="G7" s="12"/>
      <x:c r="H7" s="12" t="str">
        <x:f>False_Positive_Deep_Dive!A5</x:f>
        <x:v>random_igra_3hp_cov020</x:v>
      </x:c>
      <x:c r="I7" s="12" t="str">
        <x:f>False_Positive_Deep_Dive!B5</x:f>
        <x:v>random</x:v>
      </x:c>
      <x:c r="J7" s="12" t="n">
        <x:f>False_Positive_Deep_Dive!C5</x:f>
        <x:v>0.2</x:v>
      </x:c>
      <x:c r="K7" s="34" t="str">
        <x:f>False_Positive_Deep_Dive!W5</x:f>
      </x:c>
      <x:c r="L7" s="34" t="str">
        <x:f>False_Positive_Deep_Dive!X5</x:f>
      </x:c>
      <x:c r="M7" s="34" t="str">
        <x:f>False_Positive_Deep_Dive!Y5</x:f>
      </x:c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</x:row>
    <x:row r="8">
      <x:c r="A8" s="12" t="str">
        <x:f>False_Positive_Deep_Dive!A6</x:f>
        <x:v>random_igra_3hp_cov030</x:v>
      </x:c>
      <x:c r="B8" s="12" t="str">
        <x:f>False_Positive_Deep_Dive!B6</x:f>
        <x:v>random</x:v>
      </x:c>
      <x:c r="C8" s="32" t="n">
        <x:f>False_Positive_Deep_Dive!C6</x:f>
        <x:v>0.3</x:v>
      </x:c>
      <x:c r="D8" s="12" t="n">
        <x:f>False_Positive_Deep_Dive!I6</x:f>
        <x:v>0</x:v>
      </x:c>
      <x:c r="E8" s="12" t="n">
        <x:f>False_Positive_Deep_Dive!K6</x:f>
        <x:v>0</x:v>
      </x:c>
      <x:c r="F8" s="12" t="str">
        <x:f>False_Positive_Deep_Dive!R6</x:f>
      </x:c>
      <x:c r="G8" s="12"/>
      <x:c r="H8" s="12" t="str">
        <x:f>False_Positive_Deep_Dive!A6</x:f>
        <x:v>random_igra_3hp_cov030</x:v>
      </x:c>
      <x:c r="I8" s="12" t="str">
        <x:f>False_Positive_Deep_Dive!B6</x:f>
        <x:v>random</x:v>
      </x:c>
      <x:c r="J8" s="12" t="n">
        <x:f>False_Positive_Deep_Dive!C6</x:f>
        <x:v>0.3</x:v>
      </x:c>
      <x:c r="K8" s="34" t="str">
        <x:f>False_Positive_Deep_Dive!W6</x:f>
      </x:c>
      <x:c r="L8" s="34" t="str">
        <x:f>False_Positive_Deep_Dive!X6</x:f>
      </x:c>
      <x:c r="M8" s="34" t="str">
        <x:f>False_Positive_Deep_Dive!Y6</x:f>
      </x:c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</x:row>
    <x:row r="9">
      <x:c r="A9" s="12" t="str">
        <x:f>False_Positive_Deep_Dive!A7</x:f>
        <x:v>random_igra_3hp_cov040</x:v>
      </x:c>
      <x:c r="B9" s="12" t="str">
        <x:f>False_Positive_Deep_Dive!B7</x:f>
        <x:v>random</x:v>
      </x:c>
      <x:c r="C9" s="32" t="n">
        <x:f>False_Positive_Deep_Dive!C7</x:f>
        <x:v>0.4</x:v>
      </x:c>
      <x:c r="D9" s="12" t="n">
        <x:f>False_Positive_Deep_Dive!I7</x:f>
        <x:v>0</x:v>
      </x:c>
      <x:c r="E9" s="12" t="n">
        <x:f>False_Positive_Deep_Dive!K7</x:f>
        <x:v>0</x:v>
      </x:c>
      <x:c r="F9" s="12" t="str">
        <x:f>False_Positive_Deep_Dive!R7</x:f>
      </x:c>
      <x:c r="G9" s="12"/>
      <x:c r="H9" s="12" t="str">
        <x:f>False_Positive_Deep_Dive!A7</x:f>
        <x:v>random_igra_3hp_cov040</x:v>
      </x:c>
      <x:c r="I9" s="12" t="str">
        <x:f>False_Positive_Deep_Dive!B7</x:f>
        <x:v>random</x:v>
      </x:c>
      <x:c r="J9" s="12" t="n">
        <x:f>False_Positive_Deep_Dive!C7</x:f>
        <x:v>0.4</x:v>
      </x:c>
      <x:c r="K9" s="34" t="str">
        <x:f>False_Positive_Deep_Dive!W7</x:f>
      </x:c>
      <x:c r="L9" s="34" t="str">
        <x:f>False_Positive_Deep_Dive!X7</x:f>
      </x:c>
      <x:c r="M9" s="34" t="str">
        <x:f>False_Positive_Deep_Dive!Y7</x:f>
      </x:c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</x:row>
    <x:row r="10">
      <x:c r="A10" s="12" t="str">
        <x:f>False_Positive_Deep_Dive!A8</x:f>
        <x:v>random_igra_3hp_cov050</x:v>
      </x:c>
      <x:c r="B10" s="12" t="str">
        <x:f>False_Positive_Deep_Dive!B8</x:f>
        <x:v>random</x:v>
      </x:c>
      <x:c r="C10" s="32" t="n">
        <x:f>False_Positive_Deep_Dive!C8</x:f>
        <x:v>0.5</x:v>
      </x:c>
      <x:c r="D10" s="12" t="n">
        <x:f>False_Positive_Deep_Dive!I8</x:f>
        <x:v>0</x:v>
      </x:c>
      <x:c r="E10" s="12" t="n">
        <x:f>False_Positive_Deep_Dive!K8</x:f>
        <x:v>0</x:v>
      </x:c>
      <x:c r="F10" s="12" t="str">
        <x:f>False_Positive_Deep_Dive!R8</x:f>
      </x:c>
      <x:c r="G10" s="12"/>
      <x:c r="H10" s="12" t="str">
        <x:f>False_Positive_Deep_Dive!A8</x:f>
        <x:v>random_igra_3hp_cov050</x:v>
      </x:c>
      <x:c r="I10" s="12" t="str">
        <x:f>False_Positive_Deep_Dive!B8</x:f>
        <x:v>random</x:v>
      </x:c>
      <x:c r="J10" s="12" t="n">
        <x:f>False_Positive_Deep_Dive!C8</x:f>
        <x:v>0.5</x:v>
      </x:c>
      <x:c r="K10" s="34" t="str">
        <x:f>False_Positive_Deep_Dive!W8</x:f>
      </x:c>
      <x:c r="L10" s="34" t="str">
        <x:f>False_Positive_Deep_Dive!X8</x:f>
      </x:c>
      <x:c r="M10" s="34" t="str">
        <x:f>False_Positive_Deep_Dive!Y8</x:f>
      </x:c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</x:row>
    <x:row r="11">
      <x:c r="A11" s="12" t="str">
        <x:f>False_Positive_Deep_Dive!A9</x:f>
        <x:v>random_igra_3hp_cov060</x:v>
      </x:c>
      <x:c r="B11" s="12" t="str">
        <x:f>False_Positive_Deep_Dive!B9</x:f>
        <x:v>random</x:v>
      </x:c>
      <x:c r="C11" s="32" t="n">
        <x:f>False_Positive_Deep_Dive!C9</x:f>
        <x:v>0.6</x:v>
      </x:c>
      <x:c r="D11" s="12" t="n">
        <x:f>False_Positive_Deep_Dive!I9</x:f>
        <x:v>0</x:v>
      </x:c>
      <x:c r="E11" s="12" t="n">
        <x:f>False_Positive_Deep_Dive!K9</x:f>
        <x:v>0</x:v>
      </x:c>
      <x:c r="F11" s="12" t="str">
        <x:f>False_Positive_Deep_Dive!R9</x:f>
      </x:c>
      <x:c r="G11" s="12"/>
      <x:c r="H11" s="12" t="str">
        <x:f>False_Positive_Deep_Dive!A9</x:f>
        <x:v>random_igra_3hp_cov060</x:v>
      </x:c>
      <x:c r="I11" s="12" t="str">
        <x:f>False_Positive_Deep_Dive!B9</x:f>
        <x:v>random</x:v>
      </x:c>
      <x:c r="J11" s="12" t="n">
        <x:f>False_Positive_Deep_Dive!C9</x:f>
        <x:v>0.6</x:v>
      </x:c>
      <x:c r="K11" s="34" t="str">
        <x:f>False_Positive_Deep_Dive!W9</x:f>
      </x:c>
      <x:c r="L11" s="34" t="str">
        <x:f>False_Positive_Deep_Dive!X9</x:f>
      </x:c>
      <x:c r="M11" s="34" t="str">
        <x:f>False_Positive_Deep_Dive!Y9</x:f>
      </x:c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</x:row>
    <x:row r="12">
      <x:c r="A12" s="12" t="str">
        <x:f>False_Positive_Deep_Dive!A10</x:f>
        <x:v>random_igra_3hp_cov080</x:v>
      </x:c>
      <x:c r="B12" s="12" t="str">
        <x:f>False_Positive_Deep_Dive!B10</x:f>
        <x:v>random</x:v>
      </x:c>
      <x:c r="C12" s="32" t="n">
        <x:f>False_Positive_Deep_Dive!C10</x:f>
        <x:v>0.8</x:v>
      </x:c>
      <x:c r="D12" s="12" t="n">
        <x:f>False_Positive_Deep_Dive!I10</x:f>
        <x:v>0</x:v>
      </x:c>
      <x:c r="E12" s="12" t="n">
        <x:f>False_Positive_Deep_Dive!K10</x:f>
        <x:v>0</x:v>
      </x:c>
      <x:c r="F12" s="12" t="str">
        <x:f>False_Positive_Deep_Dive!R10</x:f>
      </x:c>
      <x:c r="G12" s="12"/>
      <x:c r="H12" s="12" t="str">
        <x:f>False_Positive_Deep_Dive!A10</x:f>
        <x:v>random_igra_3hp_cov080</x:v>
      </x:c>
      <x:c r="I12" s="12" t="str">
        <x:f>False_Positive_Deep_Dive!B10</x:f>
        <x:v>random</x:v>
      </x:c>
      <x:c r="J12" s="12" t="n">
        <x:f>False_Positive_Deep_Dive!C10</x:f>
        <x:v>0.8</x:v>
      </x:c>
      <x:c r="K12" s="34" t="str">
        <x:f>False_Positive_Deep_Dive!W10</x:f>
      </x:c>
      <x:c r="L12" s="34" t="str">
        <x:f>False_Positive_Deep_Dive!X10</x:f>
      </x:c>
      <x:c r="M12" s="34" t="str">
        <x:f>False_Positive_Deep_Dive!Y10</x:f>
      </x:c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</x:row>
    <x:row r="13">
      <x:c r="A13" s="12" t="str">
        <x:f>False_Positive_Deep_Dive!A11</x:f>
        <x:v>random_igra_3hp_cov100</x:v>
      </x:c>
      <x:c r="B13" s="12" t="str">
        <x:f>False_Positive_Deep_Dive!B11</x:f>
        <x:v>random</x:v>
      </x:c>
      <x:c r="C13" s="32" t="n">
        <x:f>False_Positive_Deep_Dive!C11</x:f>
        <x:v>1</x:v>
      </x:c>
      <x:c r="D13" s="12" t="n">
        <x:f>False_Positive_Deep_Dive!I11</x:f>
        <x:v>0</x:v>
      </x:c>
      <x:c r="E13" s="12" t="n">
        <x:f>False_Positive_Deep_Dive!K11</x:f>
        <x:v>0</x:v>
      </x:c>
      <x:c r="F13" s="12" t="str">
        <x:f>False_Positive_Deep_Dive!R11</x:f>
      </x:c>
      <x:c r="G13" s="12"/>
      <x:c r="H13" s="12" t="str">
        <x:f>False_Positive_Deep_Dive!A11</x:f>
        <x:v>random_igra_3hp_cov100</x:v>
      </x:c>
      <x:c r="I13" s="12" t="str">
        <x:f>False_Positive_Deep_Dive!B11</x:f>
        <x:v>random</x:v>
      </x:c>
      <x:c r="J13" s="12" t="n">
        <x:f>False_Positive_Deep_Dive!C11</x:f>
        <x:v>1</x:v>
      </x:c>
      <x:c r="K13" s="34" t="str">
        <x:f>False_Positive_Deep_Dive!W11</x:f>
      </x:c>
      <x:c r="L13" s="34" t="str">
        <x:f>False_Positive_Deep_Dive!X11</x:f>
      </x:c>
      <x:c r="M13" s="34" t="str">
        <x:f>False_Positive_Deep_Dive!Y11</x:f>
      </x:c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</x:row>
    <x:row r="14">
      <x:c r="A14" s="12" t="str">
        <x:f>False_Positive_Deep_Dive!A12</x:f>
        <x:v>ltbi_igra_3hp_cov005</x:v>
      </x:c>
      <x:c r="B14" s="12" t="str">
        <x:f>False_Positive_Deep_Dive!B12</x:f>
        <x:v>ltbi</x:v>
      </x:c>
      <x:c r="C14" s="32" t="n">
        <x:f>False_Positive_Deep_Dive!C12</x:f>
        <x:v>0.05</x:v>
      </x:c>
      <x:c r="D14" s="12" t="n">
        <x:f>False_Positive_Deep_Dive!I12</x:f>
        <x:v>0</x:v>
      </x:c>
      <x:c r="E14" s="12" t="n">
        <x:f>False_Positive_Deep_Dive!K12</x:f>
        <x:v>0</x:v>
      </x:c>
      <x:c r="F14" s="12" t="str">
        <x:f>False_Positive_Deep_Dive!R12</x:f>
      </x:c>
      <x:c r="G14" s="12"/>
      <x:c r="H14" s="12" t="str">
        <x:f>False_Positive_Deep_Dive!A12</x:f>
        <x:v>ltbi_igra_3hp_cov005</x:v>
      </x:c>
      <x:c r="I14" s="12" t="str">
        <x:f>False_Positive_Deep_Dive!B12</x:f>
        <x:v>ltbi</x:v>
      </x:c>
      <x:c r="J14" s="12" t="n">
        <x:f>False_Positive_Deep_Dive!C12</x:f>
        <x:v>0.05</x:v>
      </x:c>
      <x:c r="K14" s="34" t="str">
        <x:f>False_Positive_Deep_Dive!W12</x:f>
      </x:c>
      <x:c r="L14" s="34" t="str">
        <x:f>False_Positive_Deep_Dive!X12</x:f>
      </x:c>
      <x:c r="M14" s="34" t="str">
        <x:f>False_Positive_Deep_Dive!Y12</x:f>
      </x:c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</x:row>
    <x:row r="15">
      <x:c r="A15" s="12" t="str">
        <x:f>False_Positive_Deep_Dive!A13</x:f>
        <x:v>ltbi_igra_3hp_cov010</x:v>
      </x:c>
      <x:c r="B15" s="12" t="str">
        <x:f>False_Positive_Deep_Dive!B13</x:f>
        <x:v>ltbi</x:v>
      </x:c>
      <x:c r="C15" s="32" t="n">
        <x:f>False_Positive_Deep_Dive!C13</x:f>
        <x:v>0.1</x:v>
      </x:c>
      <x:c r="D15" s="12" t="n">
        <x:f>False_Positive_Deep_Dive!I13</x:f>
        <x:v>0</x:v>
      </x:c>
      <x:c r="E15" s="12" t="n">
        <x:f>False_Positive_Deep_Dive!K13</x:f>
        <x:v>0</x:v>
      </x:c>
      <x:c r="F15" s="12" t="str">
        <x:f>False_Positive_Deep_Dive!R13</x:f>
      </x:c>
      <x:c r="G15" s="12"/>
      <x:c r="H15" s="12" t="str">
        <x:f>False_Positive_Deep_Dive!A13</x:f>
        <x:v>ltbi_igra_3hp_cov010</x:v>
      </x:c>
      <x:c r="I15" s="12" t="str">
        <x:f>False_Positive_Deep_Dive!B13</x:f>
        <x:v>ltbi</x:v>
      </x:c>
      <x:c r="J15" s="12" t="n">
        <x:f>False_Positive_Deep_Dive!C13</x:f>
        <x:v>0.1</x:v>
      </x:c>
      <x:c r="K15" s="34" t="str">
        <x:f>False_Positive_Deep_Dive!W13</x:f>
      </x:c>
      <x:c r="L15" s="34" t="str">
        <x:f>False_Positive_Deep_Dive!X13</x:f>
      </x:c>
      <x:c r="M15" s="34" t="str">
        <x:f>False_Positive_Deep_Dive!Y13</x:f>
      </x:c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</x:row>
    <x:row r="16">
      <x:c r="A16" s="12" t="str">
        <x:f>False_Positive_Deep_Dive!A14</x:f>
        <x:v>ltbi_igra_3hp_cov015</x:v>
      </x:c>
      <x:c r="B16" s="12" t="str">
        <x:f>False_Positive_Deep_Dive!B14</x:f>
        <x:v>ltbi</x:v>
      </x:c>
      <x:c r="C16" s="32" t="n">
        <x:f>False_Positive_Deep_Dive!C14</x:f>
        <x:v>0.15</x:v>
      </x:c>
      <x:c r="D16" s="12" t="n">
        <x:f>False_Positive_Deep_Dive!I14</x:f>
        <x:v>0</x:v>
      </x:c>
      <x:c r="E16" s="12" t="n">
        <x:f>False_Positive_Deep_Dive!K14</x:f>
        <x:v>0</x:v>
      </x:c>
      <x:c r="F16" s="12" t="str">
        <x:f>False_Positive_Deep_Dive!R14</x:f>
      </x:c>
      <x:c r="G16" s="12"/>
      <x:c r="H16" s="12" t="str">
        <x:f>False_Positive_Deep_Dive!A14</x:f>
        <x:v>ltbi_igra_3hp_cov015</x:v>
      </x:c>
      <x:c r="I16" s="12" t="str">
        <x:f>False_Positive_Deep_Dive!B14</x:f>
        <x:v>ltbi</x:v>
      </x:c>
      <x:c r="J16" s="12" t="n">
        <x:f>False_Positive_Deep_Dive!C14</x:f>
        <x:v>0.15</x:v>
      </x:c>
      <x:c r="K16" s="34" t="str">
        <x:f>False_Positive_Deep_Dive!W14</x:f>
      </x:c>
      <x:c r="L16" s="34" t="str">
        <x:f>False_Positive_Deep_Dive!X14</x:f>
      </x:c>
      <x:c r="M16" s="34" t="str">
        <x:f>False_Positive_Deep_Dive!Y14</x:f>
      </x:c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</x:row>
    <x:row r="17">
      <x:c r="A17" s="12" t="str">
        <x:f>False_Positive_Deep_Dive!A15</x:f>
        <x:v>ltbi_igra_3hp_cov020</x:v>
      </x:c>
      <x:c r="B17" s="12" t="str">
        <x:f>False_Positive_Deep_Dive!B15</x:f>
        <x:v>ltbi</x:v>
      </x:c>
      <x:c r="C17" s="32" t="n">
        <x:f>False_Positive_Deep_Dive!C15</x:f>
        <x:v>0.2</x:v>
      </x:c>
      <x:c r="D17" s="12" t="n">
        <x:f>False_Positive_Deep_Dive!I15</x:f>
        <x:v>0</x:v>
      </x:c>
      <x:c r="E17" s="12" t="n">
        <x:f>False_Positive_Deep_Dive!K15</x:f>
        <x:v>0</x:v>
      </x:c>
      <x:c r="F17" s="12" t="str">
        <x:f>False_Positive_Deep_Dive!R15</x:f>
      </x:c>
      <x:c r="G17" s="12"/>
      <x:c r="H17" s="12" t="str">
        <x:f>False_Positive_Deep_Dive!A15</x:f>
        <x:v>ltbi_igra_3hp_cov020</x:v>
      </x:c>
      <x:c r="I17" s="12" t="str">
        <x:f>False_Positive_Deep_Dive!B15</x:f>
        <x:v>ltbi</x:v>
      </x:c>
      <x:c r="J17" s="12" t="n">
        <x:f>False_Positive_Deep_Dive!C15</x:f>
        <x:v>0.2</x:v>
      </x:c>
      <x:c r="K17" s="34" t="str">
        <x:f>False_Positive_Deep_Dive!W15</x:f>
      </x:c>
      <x:c r="L17" s="34" t="str">
        <x:f>False_Positive_Deep_Dive!X15</x:f>
      </x:c>
      <x:c r="M17" s="34" t="str">
        <x:f>False_Positive_Deep_Dive!Y15</x:f>
      </x:c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</x:row>
    <x:row r="18">
      <x:c r="A18" s="12" t="str">
        <x:f>False_Positive_Deep_Dive!A16</x:f>
        <x:v>ltbi_igra_3hp_cov030</x:v>
      </x:c>
      <x:c r="B18" s="12" t="str">
        <x:f>False_Positive_Deep_Dive!B16</x:f>
        <x:v>ltbi</x:v>
      </x:c>
      <x:c r="C18" s="32" t="n">
        <x:f>False_Positive_Deep_Dive!C16</x:f>
        <x:v>0.3</x:v>
      </x:c>
      <x:c r="D18" s="12" t="n">
        <x:f>False_Positive_Deep_Dive!I16</x:f>
        <x:v>0</x:v>
      </x:c>
      <x:c r="E18" s="12" t="n">
        <x:f>False_Positive_Deep_Dive!K16</x:f>
        <x:v>0</x:v>
      </x:c>
      <x:c r="F18" s="12" t="str">
        <x:f>False_Positive_Deep_Dive!R16</x:f>
      </x:c>
      <x:c r="G18" s="12"/>
      <x:c r="H18" s="12" t="str">
        <x:f>False_Positive_Deep_Dive!A16</x:f>
        <x:v>ltbi_igra_3hp_cov030</x:v>
      </x:c>
      <x:c r="I18" s="12" t="str">
        <x:f>False_Positive_Deep_Dive!B16</x:f>
        <x:v>ltbi</x:v>
      </x:c>
      <x:c r="J18" s="12" t="n">
        <x:f>False_Positive_Deep_Dive!C16</x:f>
        <x:v>0.3</x:v>
      </x:c>
      <x:c r="K18" s="34" t="str">
        <x:f>False_Positive_Deep_Dive!W16</x:f>
      </x:c>
      <x:c r="L18" s="34" t="str">
        <x:f>False_Positive_Deep_Dive!X16</x:f>
      </x:c>
      <x:c r="M18" s="34" t="str">
        <x:f>False_Positive_Deep_Dive!Y16</x:f>
      </x:c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</x:row>
    <x:row r="19">
      <x:c r="A19" s="12" t="str">
        <x:f>False_Positive_Deep_Dive!A17</x:f>
        <x:v>ltbi_igra_3hp_cov040</x:v>
      </x:c>
      <x:c r="B19" s="12" t="str">
        <x:f>False_Positive_Deep_Dive!B17</x:f>
        <x:v>ltbi</x:v>
      </x:c>
      <x:c r="C19" s="32" t="n">
        <x:f>False_Positive_Deep_Dive!C17</x:f>
        <x:v>0.4</x:v>
      </x:c>
      <x:c r="D19" s="12" t="n">
        <x:f>False_Positive_Deep_Dive!I17</x:f>
        <x:v>0</x:v>
      </x:c>
      <x:c r="E19" s="12" t="n">
        <x:f>False_Positive_Deep_Dive!K17</x:f>
        <x:v>0</x:v>
      </x:c>
      <x:c r="F19" s="12" t="str">
        <x:f>False_Positive_Deep_Dive!R17</x:f>
      </x:c>
      <x:c r="G19" s="12"/>
      <x:c r="H19" s="12" t="str">
        <x:f>False_Positive_Deep_Dive!A17</x:f>
        <x:v>ltbi_igra_3hp_cov040</x:v>
      </x:c>
      <x:c r="I19" s="12" t="str">
        <x:f>False_Positive_Deep_Dive!B17</x:f>
        <x:v>ltbi</x:v>
      </x:c>
      <x:c r="J19" s="12" t="n">
        <x:f>False_Positive_Deep_Dive!C17</x:f>
        <x:v>0.4</x:v>
      </x:c>
      <x:c r="K19" s="34" t="str">
        <x:f>False_Positive_Deep_Dive!W17</x:f>
      </x:c>
      <x:c r="L19" s="34" t="str">
        <x:f>False_Positive_Deep_Dive!X17</x:f>
      </x:c>
      <x:c r="M19" s="34" t="str">
        <x:f>False_Positive_Deep_Dive!Y17</x:f>
      </x:c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</x:row>
    <x:row r="20">
      <x:c r="A20" s="12" t="str">
        <x:f>False_Positive_Deep_Dive!A18</x:f>
        <x:v>ltbi_igra_3hp_cov050</x:v>
      </x:c>
      <x:c r="B20" s="12" t="str">
        <x:f>False_Positive_Deep_Dive!B18</x:f>
        <x:v>ltbi</x:v>
      </x:c>
      <x:c r="C20" s="32" t="n">
        <x:f>False_Positive_Deep_Dive!C18</x:f>
        <x:v>0.5</x:v>
      </x:c>
      <x:c r="D20" s="12" t="n">
        <x:f>False_Positive_Deep_Dive!I18</x:f>
        <x:v>0</x:v>
      </x:c>
      <x:c r="E20" s="12" t="n">
        <x:f>False_Positive_Deep_Dive!K18</x:f>
        <x:v>0</x:v>
      </x:c>
      <x:c r="F20" s="12" t="str">
        <x:f>False_Positive_Deep_Dive!R18</x:f>
      </x:c>
      <x:c r="G20" s="12"/>
      <x:c r="H20" s="12" t="str">
        <x:f>False_Positive_Deep_Dive!A18</x:f>
        <x:v>ltbi_igra_3hp_cov050</x:v>
      </x:c>
      <x:c r="I20" s="12" t="str">
        <x:f>False_Positive_Deep_Dive!B18</x:f>
        <x:v>ltbi</x:v>
      </x:c>
      <x:c r="J20" s="12" t="n">
        <x:f>False_Positive_Deep_Dive!C18</x:f>
        <x:v>0.5</x:v>
      </x:c>
      <x:c r="K20" s="34" t="str">
        <x:f>False_Positive_Deep_Dive!W18</x:f>
      </x:c>
      <x:c r="L20" s="34" t="str">
        <x:f>False_Positive_Deep_Dive!X18</x:f>
      </x:c>
      <x:c r="M20" s="34" t="str">
        <x:f>False_Positive_Deep_Dive!Y18</x:f>
      </x:c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</x:row>
    <x:row r="21">
      <x:c r="A21" s="12" t="str">
        <x:f>False_Positive_Deep_Dive!A19</x:f>
        <x:v>ltbi_igra_3hp_cov060</x:v>
      </x:c>
      <x:c r="B21" s="12" t="str">
        <x:f>False_Positive_Deep_Dive!B19</x:f>
        <x:v>ltbi</x:v>
      </x:c>
      <x:c r="C21" s="32" t="n">
        <x:f>False_Positive_Deep_Dive!C19</x:f>
        <x:v>0.6</x:v>
      </x:c>
      <x:c r="D21" s="12" t="n">
        <x:f>False_Positive_Deep_Dive!I19</x:f>
        <x:v>0</x:v>
      </x:c>
      <x:c r="E21" s="12" t="n">
        <x:f>False_Positive_Deep_Dive!K19</x:f>
        <x:v>0</x:v>
      </x:c>
      <x:c r="F21" s="12" t="str">
        <x:f>False_Positive_Deep_Dive!R19</x:f>
      </x:c>
      <x:c r="G21" s="12"/>
      <x:c r="H21" s="12" t="str">
        <x:f>False_Positive_Deep_Dive!A19</x:f>
        <x:v>ltbi_igra_3hp_cov060</x:v>
      </x:c>
      <x:c r="I21" s="12" t="str">
        <x:f>False_Positive_Deep_Dive!B19</x:f>
        <x:v>ltbi</x:v>
      </x:c>
      <x:c r="J21" s="12" t="n">
        <x:f>False_Positive_Deep_Dive!C19</x:f>
        <x:v>0.6</x:v>
      </x:c>
      <x:c r="K21" s="34" t="str">
        <x:f>False_Positive_Deep_Dive!W19</x:f>
      </x:c>
      <x:c r="L21" s="34" t="str">
        <x:f>False_Positive_Deep_Dive!X19</x:f>
      </x:c>
      <x:c r="M21" s="34" t="str">
        <x:f>False_Positive_Deep_Dive!Y19</x:f>
      </x:c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</x:row>
    <x:row r="22">
      <x:c r="A22" s="12" t="str">
        <x:f>False_Positive_Deep_Dive!A20</x:f>
        <x:v>ltbi_igra_3hp_cov080</x:v>
      </x:c>
      <x:c r="B22" s="12" t="str">
        <x:f>False_Positive_Deep_Dive!B20</x:f>
        <x:v>ltbi</x:v>
      </x:c>
      <x:c r="C22" s="32" t="n">
        <x:f>False_Positive_Deep_Dive!C20</x:f>
        <x:v>0.8</x:v>
      </x:c>
      <x:c r="D22" s="12" t="n">
        <x:f>False_Positive_Deep_Dive!I20</x:f>
        <x:v>0</x:v>
      </x:c>
      <x:c r="E22" s="12" t="n">
        <x:f>False_Positive_Deep_Dive!K20</x:f>
        <x:v>0</x:v>
      </x:c>
      <x:c r="F22" s="12" t="str">
        <x:f>False_Positive_Deep_Dive!R20</x:f>
      </x:c>
      <x:c r="G22" s="12"/>
      <x:c r="H22" s="12" t="str">
        <x:f>False_Positive_Deep_Dive!A20</x:f>
        <x:v>ltbi_igra_3hp_cov080</x:v>
      </x:c>
      <x:c r="I22" s="12" t="str">
        <x:f>False_Positive_Deep_Dive!B20</x:f>
        <x:v>ltbi</x:v>
      </x:c>
      <x:c r="J22" s="12" t="n">
        <x:f>False_Positive_Deep_Dive!C20</x:f>
        <x:v>0.8</x:v>
      </x:c>
      <x:c r="K22" s="34" t="str">
        <x:f>False_Positive_Deep_Dive!W20</x:f>
      </x:c>
      <x:c r="L22" s="34" t="str">
        <x:f>False_Positive_Deep_Dive!X20</x:f>
      </x:c>
      <x:c r="M22" s="34" t="str">
        <x:f>False_Positive_Deep_Dive!Y20</x:f>
      </x:c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</x:row>
    <x:row r="23">
      <x:c r="A23" s="12" t="str">
        <x:f>False_Positive_Deep_Dive!A21</x:f>
        <x:v>ltbi_igra_3hp_cov100</x:v>
      </x:c>
      <x:c r="B23" s="12" t="str">
        <x:f>False_Positive_Deep_Dive!B21</x:f>
        <x:v>ltbi</x:v>
      </x:c>
      <x:c r="C23" s="32" t="n">
        <x:f>False_Positive_Deep_Dive!C21</x:f>
        <x:v>1</x:v>
      </x:c>
      <x:c r="D23" s="12" t="n">
        <x:f>False_Positive_Deep_Dive!I21</x:f>
        <x:v>0</x:v>
      </x:c>
      <x:c r="E23" s="12" t="n">
        <x:f>False_Positive_Deep_Dive!K21</x:f>
        <x:v>0</x:v>
      </x:c>
      <x:c r="F23" s="12" t="str">
        <x:f>False_Positive_Deep_Dive!R21</x:f>
      </x:c>
      <x:c r="G23" s="12"/>
      <x:c r="H23" s="12" t="str">
        <x:f>False_Positive_Deep_Dive!A21</x:f>
        <x:v>ltbi_igra_3hp_cov100</x:v>
      </x:c>
      <x:c r="I23" s="12" t="str">
        <x:f>False_Positive_Deep_Dive!B21</x:f>
        <x:v>ltbi</x:v>
      </x:c>
      <x:c r="J23" s="12" t="n">
        <x:f>False_Positive_Deep_Dive!C21</x:f>
        <x:v>1</x:v>
      </x:c>
      <x:c r="K23" s="34" t="str">
        <x:f>False_Positive_Deep_Dive!W21</x:f>
      </x:c>
      <x:c r="L23" s="34" t="str">
        <x:f>False_Positive_Deep_Dive!X21</x:f>
      </x:c>
      <x:c r="M23" s="34" t="str">
        <x:f>False_Positive_Deep_Dive!Y21</x:f>
      </x:c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</x:row>
    <x:row r="24">
      <x:c r="A24" s="12" t="str">
        <x:f>False_Positive_Deep_Dive!A22</x:f>
        <x:v>cure_igra_3hp_cov005</x:v>
      </x:c>
      <x:c r="B24" s="12" t="str">
        <x:f>False_Positive_Deep_Dive!B22</x:f>
        <x:v>cure</x:v>
      </x:c>
      <x:c r="C24" s="32" t="n">
        <x:f>False_Positive_Deep_Dive!C22</x:f>
        <x:v>0.05</x:v>
      </x:c>
      <x:c r="D24" s="12" t="n">
        <x:f>False_Positive_Deep_Dive!I22</x:f>
        <x:v>0</x:v>
      </x:c>
      <x:c r="E24" s="12" t="n">
        <x:f>False_Positive_Deep_Dive!K22</x:f>
        <x:v>0</x:v>
      </x:c>
      <x:c r="F24" s="12" t="str">
        <x:f>False_Positive_Deep_Dive!R22</x:f>
      </x:c>
      <x:c r="G24" s="12"/>
      <x:c r="H24" s="12" t="str">
        <x:f>False_Positive_Deep_Dive!A22</x:f>
        <x:v>cure_igra_3hp_cov005</x:v>
      </x:c>
      <x:c r="I24" s="12" t="str">
        <x:f>False_Positive_Deep_Dive!B22</x:f>
        <x:v>cure</x:v>
      </x:c>
      <x:c r="J24" s="12" t="n">
        <x:f>False_Positive_Deep_Dive!C22</x:f>
        <x:v>0.05</x:v>
      </x:c>
      <x:c r="K24" s="34" t="str">
        <x:f>False_Positive_Deep_Dive!W22</x:f>
      </x:c>
      <x:c r="L24" s="34" t="str">
        <x:f>False_Positive_Deep_Dive!X22</x:f>
      </x:c>
      <x:c r="M24" s="34" t="str">
        <x:f>False_Positive_Deep_Dive!Y22</x:f>
      </x:c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</x:row>
    <x:row r="25">
      <x:c r="A25" s="12" t="str">
        <x:f>False_Positive_Deep_Dive!A23</x:f>
        <x:v>cure_igra_3hp_cov010</x:v>
      </x:c>
      <x:c r="B25" s="12" t="str">
        <x:f>False_Positive_Deep_Dive!B23</x:f>
        <x:v>cure</x:v>
      </x:c>
      <x:c r="C25" s="32" t="n">
        <x:f>False_Positive_Deep_Dive!C23</x:f>
        <x:v>0.1</x:v>
      </x:c>
      <x:c r="D25" s="12" t="n">
        <x:f>False_Positive_Deep_Dive!I23</x:f>
        <x:v>0</x:v>
      </x:c>
      <x:c r="E25" s="12" t="n">
        <x:f>False_Positive_Deep_Dive!K23</x:f>
        <x:v>0</x:v>
      </x:c>
      <x:c r="F25" s="12" t="str">
        <x:f>False_Positive_Deep_Dive!R23</x:f>
      </x:c>
      <x:c r="G25" s="12"/>
      <x:c r="H25" s="12" t="str">
        <x:f>False_Positive_Deep_Dive!A23</x:f>
        <x:v>cure_igra_3hp_cov010</x:v>
      </x:c>
      <x:c r="I25" s="12" t="str">
        <x:f>False_Positive_Deep_Dive!B23</x:f>
        <x:v>cure</x:v>
      </x:c>
      <x:c r="J25" s="12" t="n">
        <x:f>False_Positive_Deep_Dive!C23</x:f>
        <x:v>0.1</x:v>
      </x:c>
      <x:c r="K25" s="34" t="str">
        <x:f>False_Positive_Deep_Dive!W23</x:f>
      </x:c>
      <x:c r="L25" s="34" t="str">
        <x:f>False_Positive_Deep_Dive!X23</x:f>
      </x:c>
      <x:c r="M25" s="34" t="str">
        <x:f>False_Positive_Deep_Dive!Y23</x:f>
      </x:c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</x:row>
    <x:row r="26">
      <x:c r="A26" s="12" t="str">
        <x:f>False_Positive_Deep_Dive!A24</x:f>
        <x:v>cure_igra_3hp_cov015</x:v>
      </x:c>
      <x:c r="B26" s="12" t="str">
        <x:f>False_Positive_Deep_Dive!B24</x:f>
        <x:v>cure</x:v>
      </x:c>
      <x:c r="C26" s="32" t="n">
        <x:f>False_Positive_Deep_Dive!C24</x:f>
        <x:v>0.15</x:v>
      </x:c>
      <x:c r="D26" s="12" t="n">
        <x:f>False_Positive_Deep_Dive!I24</x:f>
        <x:v>0</x:v>
      </x:c>
      <x:c r="E26" s="12" t="n">
        <x:f>False_Positive_Deep_Dive!K24</x:f>
        <x:v>0</x:v>
      </x:c>
      <x:c r="F26" s="12" t="str">
        <x:f>False_Positive_Deep_Dive!R24</x:f>
      </x:c>
      <x:c r="G26" s="12"/>
      <x:c r="H26" s="12" t="str">
        <x:f>False_Positive_Deep_Dive!A24</x:f>
        <x:v>cure_igra_3hp_cov015</x:v>
      </x:c>
      <x:c r="I26" s="12" t="str">
        <x:f>False_Positive_Deep_Dive!B24</x:f>
        <x:v>cure</x:v>
      </x:c>
      <x:c r="J26" s="12" t="n">
        <x:f>False_Positive_Deep_Dive!C24</x:f>
        <x:v>0.15</x:v>
      </x:c>
      <x:c r="K26" s="34" t="str">
        <x:f>False_Positive_Deep_Dive!W24</x:f>
      </x:c>
      <x:c r="L26" s="34" t="str">
        <x:f>False_Positive_Deep_Dive!X24</x:f>
      </x:c>
      <x:c r="M26" s="34" t="str">
        <x:f>False_Positive_Deep_Dive!Y24</x:f>
      </x:c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</x:row>
    <x:row r="27">
      <x:c r="A27" s="12" t="str">
        <x:f>False_Positive_Deep_Dive!A25</x:f>
        <x:v>cure_igra_3hp_cov020</x:v>
      </x:c>
      <x:c r="B27" s="12" t="str">
        <x:f>False_Positive_Deep_Dive!B25</x:f>
        <x:v>cure</x:v>
      </x:c>
      <x:c r="C27" s="32" t="n">
        <x:f>False_Positive_Deep_Dive!C25</x:f>
        <x:v>0.2</x:v>
      </x:c>
      <x:c r="D27" s="12" t="n">
        <x:f>False_Positive_Deep_Dive!I25</x:f>
        <x:v>0</x:v>
      </x:c>
      <x:c r="E27" s="12" t="n">
        <x:f>False_Positive_Deep_Dive!K25</x:f>
        <x:v>0</x:v>
      </x:c>
      <x:c r="F27" s="12" t="str">
        <x:f>False_Positive_Deep_Dive!R25</x:f>
      </x:c>
      <x:c r="G27" s="12"/>
      <x:c r="H27" s="12" t="str">
        <x:f>False_Positive_Deep_Dive!A25</x:f>
        <x:v>cure_igra_3hp_cov020</x:v>
      </x:c>
      <x:c r="I27" s="12" t="str">
        <x:f>False_Positive_Deep_Dive!B25</x:f>
        <x:v>cure</x:v>
      </x:c>
      <x:c r="J27" s="12" t="n">
        <x:f>False_Positive_Deep_Dive!C25</x:f>
        <x:v>0.2</x:v>
      </x:c>
      <x:c r="K27" s="34" t="str">
        <x:f>False_Positive_Deep_Dive!W25</x:f>
      </x:c>
      <x:c r="L27" s="34" t="str">
        <x:f>False_Positive_Deep_Dive!X25</x:f>
      </x:c>
      <x:c r="M27" s="34" t="str">
        <x:f>False_Positive_Deep_Dive!Y25</x:f>
      </x:c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</x:row>
    <x:row r="28">
      <x:c r="A28" s="12" t="str">
        <x:f>False_Positive_Deep_Dive!A26</x:f>
        <x:v>cure_igra_3hp_cov030</x:v>
      </x:c>
      <x:c r="B28" s="12" t="str">
        <x:f>False_Positive_Deep_Dive!B26</x:f>
        <x:v>cure</x:v>
      </x:c>
      <x:c r="C28" s="32" t="n">
        <x:f>False_Positive_Deep_Dive!C26</x:f>
        <x:v>0.3</x:v>
      </x:c>
      <x:c r="D28" s="12" t="n">
        <x:f>False_Positive_Deep_Dive!I26</x:f>
        <x:v>0</x:v>
      </x:c>
      <x:c r="E28" s="12" t="n">
        <x:f>False_Positive_Deep_Dive!K26</x:f>
        <x:v>0</x:v>
      </x:c>
      <x:c r="F28" s="12" t="str">
        <x:f>False_Positive_Deep_Dive!R26</x:f>
      </x:c>
      <x:c r="G28" s="12"/>
      <x:c r="H28" s="12" t="str">
        <x:f>False_Positive_Deep_Dive!A26</x:f>
        <x:v>cure_igra_3hp_cov030</x:v>
      </x:c>
      <x:c r="I28" s="12" t="str">
        <x:f>False_Positive_Deep_Dive!B26</x:f>
        <x:v>cure</x:v>
      </x:c>
      <x:c r="J28" s="12" t="n">
        <x:f>False_Positive_Deep_Dive!C26</x:f>
        <x:v>0.3</x:v>
      </x:c>
      <x:c r="K28" s="34" t="str">
        <x:f>False_Positive_Deep_Dive!W26</x:f>
      </x:c>
      <x:c r="L28" s="34" t="str">
        <x:f>False_Positive_Deep_Dive!X26</x:f>
      </x:c>
      <x:c r="M28" s="34" t="str">
        <x:f>False_Positive_Deep_Dive!Y26</x:f>
      </x:c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</x:row>
    <x:row r="29">
      <x:c r="A29" s="12" t="str">
        <x:f>False_Positive_Deep_Dive!A27</x:f>
        <x:v>cure_igra_3hp_cov040</x:v>
      </x:c>
      <x:c r="B29" s="12" t="str">
        <x:f>False_Positive_Deep_Dive!B27</x:f>
        <x:v>cure</x:v>
      </x:c>
      <x:c r="C29" s="32" t="n">
        <x:f>False_Positive_Deep_Dive!C27</x:f>
        <x:v>0.4</x:v>
      </x:c>
      <x:c r="D29" s="12" t="n">
        <x:f>False_Positive_Deep_Dive!I27</x:f>
        <x:v>0</x:v>
      </x:c>
      <x:c r="E29" s="12" t="n">
        <x:f>False_Positive_Deep_Dive!K27</x:f>
        <x:v>0</x:v>
      </x:c>
      <x:c r="F29" s="12" t="str">
        <x:f>False_Positive_Deep_Dive!R27</x:f>
      </x:c>
      <x:c r="G29" s="12"/>
      <x:c r="H29" s="12" t="str">
        <x:f>False_Positive_Deep_Dive!A27</x:f>
        <x:v>cure_igra_3hp_cov040</x:v>
      </x:c>
      <x:c r="I29" s="12" t="str">
        <x:f>False_Positive_Deep_Dive!B27</x:f>
        <x:v>cure</x:v>
      </x:c>
      <x:c r="J29" s="12" t="n">
        <x:f>False_Positive_Deep_Dive!C27</x:f>
        <x:v>0.4</x:v>
      </x:c>
      <x:c r="K29" s="34" t="str">
        <x:f>False_Positive_Deep_Dive!W27</x:f>
      </x:c>
      <x:c r="L29" s="34" t="str">
        <x:f>False_Positive_Deep_Dive!X27</x:f>
      </x:c>
      <x:c r="M29" s="34" t="str">
        <x:f>False_Positive_Deep_Dive!Y27</x:f>
      </x:c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</x:row>
    <x:row r="30">
      <x:c r="A30" s="12" t="str">
        <x:f>False_Positive_Deep_Dive!A28</x:f>
        <x:v>cure_igra_3hp_cov050</x:v>
      </x:c>
      <x:c r="B30" s="12" t="str">
        <x:f>False_Positive_Deep_Dive!B28</x:f>
        <x:v>cure</x:v>
      </x:c>
      <x:c r="C30" s="32" t="n">
        <x:f>False_Positive_Deep_Dive!C28</x:f>
        <x:v>0.5</x:v>
      </x:c>
      <x:c r="D30" s="12" t="n">
        <x:f>False_Positive_Deep_Dive!I28</x:f>
        <x:v>0</x:v>
      </x:c>
      <x:c r="E30" s="12" t="n">
        <x:f>False_Positive_Deep_Dive!K28</x:f>
        <x:v>0</x:v>
      </x:c>
      <x:c r="F30" s="12" t="str">
        <x:f>False_Positive_Deep_Dive!R28</x:f>
      </x:c>
      <x:c r="G30" s="12"/>
      <x:c r="H30" s="12" t="str">
        <x:f>False_Positive_Deep_Dive!A28</x:f>
        <x:v>cure_igra_3hp_cov050</x:v>
      </x:c>
      <x:c r="I30" s="12" t="str">
        <x:f>False_Positive_Deep_Dive!B28</x:f>
        <x:v>cure</x:v>
      </x:c>
      <x:c r="J30" s="12" t="n">
        <x:f>False_Positive_Deep_Dive!C28</x:f>
        <x:v>0.5</x:v>
      </x:c>
      <x:c r="K30" s="34" t="str">
        <x:f>False_Positive_Deep_Dive!W28</x:f>
      </x:c>
      <x:c r="L30" s="34" t="str">
        <x:f>False_Positive_Deep_Dive!X28</x:f>
      </x:c>
      <x:c r="M30" s="34" t="str">
        <x:f>False_Positive_Deep_Dive!Y28</x:f>
      </x:c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</x:row>
    <x:row r="31">
      <x:c r="A31" s="12" t="str">
        <x:f>False_Positive_Deep_Dive!A29</x:f>
        <x:v>cure_igra_3hp_cov060</x:v>
      </x:c>
      <x:c r="B31" s="12" t="str">
        <x:f>False_Positive_Deep_Dive!B29</x:f>
        <x:v>cure</x:v>
      </x:c>
      <x:c r="C31" s="32" t="n">
        <x:f>False_Positive_Deep_Dive!C29</x:f>
        <x:v>0.6</x:v>
      </x:c>
      <x:c r="D31" s="12" t="n">
        <x:f>False_Positive_Deep_Dive!I29</x:f>
        <x:v>0</x:v>
      </x:c>
      <x:c r="E31" s="12" t="n">
        <x:f>False_Positive_Deep_Dive!K29</x:f>
        <x:v>0</x:v>
      </x:c>
      <x:c r="F31" s="12" t="str">
        <x:f>False_Positive_Deep_Dive!R29</x:f>
      </x:c>
      <x:c r="G31" s="12"/>
      <x:c r="H31" s="12" t="str">
        <x:f>False_Positive_Deep_Dive!A29</x:f>
        <x:v>cure_igra_3hp_cov060</x:v>
      </x:c>
      <x:c r="I31" s="12" t="str">
        <x:f>False_Positive_Deep_Dive!B29</x:f>
        <x:v>cure</x:v>
      </x:c>
      <x:c r="J31" s="12" t="n">
        <x:f>False_Positive_Deep_Dive!C29</x:f>
        <x:v>0.6</x:v>
      </x:c>
      <x:c r="K31" s="34" t="str">
        <x:f>False_Positive_Deep_Dive!W29</x:f>
      </x:c>
      <x:c r="L31" s="34" t="str">
        <x:f>False_Positive_Deep_Dive!X29</x:f>
      </x:c>
      <x:c r="M31" s="34" t="str">
        <x:f>False_Positive_Deep_Dive!Y29</x:f>
      </x:c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</x:row>
    <x:row r="32">
      <x:c r="A32" s="12" t="str">
        <x:f>False_Positive_Deep_Dive!A30</x:f>
        <x:v>cure_igra_3hp_cov080</x:v>
      </x:c>
      <x:c r="B32" s="12" t="str">
        <x:f>False_Positive_Deep_Dive!B30</x:f>
        <x:v>cure</x:v>
      </x:c>
      <x:c r="C32" s="32" t="n">
        <x:f>False_Positive_Deep_Dive!C30</x:f>
        <x:v>0.8</x:v>
      </x:c>
      <x:c r="D32" s="12" t="n">
        <x:f>False_Positive_Deep_Dive!I30</x:f>
        <x:v>0</x:v>
      </x:c>
      <x:c r="E32" s="12" t="n">
        <x:f>False_Positive_Deep_Dive!K30</x:f>
        <x:v>0</x:v>
      </x:c>
      <x:c r="F32" s="12" t="str">
        <x:f>False_Positive_Deep_Dive!R30</x:f>
      </x:c>
      <x:c r="G32" s="12"/>
      <x:c r="H32" s="12" t="str">
        <x:f>False_Positive_Deep_Dive!A30</x:f>
        <x:v>cure_igra_3hp_cov080</x:v>
      </x:c>
      <x:c r="I32" s="12" t="str">
        <x:f>False_Positive_Deep_Dive!B30</x:f>
        <x:v>cure</x:v>
      </x:c>
      <x:c r="J32" s="12" t="n">
        <x:f>False_Positive_Deep_Dive!C30</x:f>
        <x:v>0.8</x:v>
      </x:c>
      <x:c r="K32" s="34" t="str">
        <x:f>False_Positive_Deep_Dive!W30</x:f>
      </x:c>
      <x:c r="L32" s="34" t="str">
        <x:f>False_Positive_Deep_Dive!X30</x:f>
      </x:c>
      <x:c r="M32" s="34" t="str">
        <x:f>False_Positive_Deep_Dive!Y30</x:f>
      </x:c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</x:row>
    <x:row r="33">
      <x:c r="A33" s="12" t="str">
        <x:f>False_Positive_Deep_Dive!A31</x:f>
        <x:v>cure_igra_3hp_cov100</x:v>
      </x:c>
      <x:c r="B33" s="12" t="str">
        <x:f>False_Positive_Deep_Dive!B31</x:f>
        <x:v>cure</x:v>
      </x:c>
      <x:c r="C33" s="32" t="n">
        <x:f>False_Positive_Deep_Dive!C31</x:f>
        <x:v>1</x:v>
      </x:c>
      <x:c r="D33" s="12" t="n">
        <x:f>False_Positive_Deep_Dive!I31</x:f>
        <x:v>0</x:v>
      </x:c>
      <x:c r="E33" s="12" t="n">
        <x:f>False_Positive_Deep_Dive!K31</x:f>
        <x:v>0</x:v>
      </x:c>
      <x:c r="F33" s="12" t="str">
        <x:f>False_Positive_Deep_Dive!R31</x:f>
      </x:c>
      <x:c r="G33" s="12"/>
      <x:c r="H33" s="12" t="str">
        <x:f>False_Positive_Deep_Dive!A31</x:f>
        <x:v>cure_igra_3hp_cov100</x:v>
      </x:c>
      <x:c r="I33" s="12" t="str">
        <x:f>False_Positive_Deep_Dive!B31</x:f>
        <x:v>cure</x:v>
      </x:c>
      <x:c r="J33" s="12" t="n">
        <x:f>False_Positive_Deep_Dive!C31</x:f>
        <x:v>1</x:v>
      </x:c>
      <x:c r="K33" s="34" t="str">
        <x:f>False_Positive_Deep_Dive!W31</x:f>
      </x:c>
      <x:c r="L33" s="34" t="str">
        <x:f>False_Positive_Deep_Dive!X31</x:f>
      </x:c>
      <x:c r="M33" s="34" t="str">
        <x:f>False_Positive_Deep_Dive!Y31</x:f>
      </x:c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</x:row>
    <x:row r="34">
      <x:c r="A34" s="12" t="str">
        <x:f>False_Positive_Deep_Dive!A32</x:f>
        <x:v>prevent_igra_3hp_cov005</x:v>
      </x:c>
      <x:c r="B34" s="12" t="str">
        <x:f>False_Positive_Deep_Dive!B32</x:f>
        <x:v>prevent</x:v>
      </x:c>
      <x:c r="C34" s="32" t="n">
        <x:f>False_Positive_Deep_Dive!C32</x:f>
        <x:v>0.05</x:v>
      </x:c>
      <x:c r="D34" s="12" t="n">
        <x:f>False_Positive_Deep_Dive!I32</x:f>
        <x:v>0</x:v>
      </x:c>
      <x:c r="E34" s="12" t="n">
        <x:f>False_Positive_Deep_Dive!K32</x:f>
        <x:v>0</x:v>
      </x:c>
      <x:c r="F34" s="12" t="str">
        <x:f>False_Positive_Deep_Dive!R32</x:f>
      </x:c>
      <x:c r="G34" s="12"/>
      <x:c r="H34" s="12" t="str">
        <x:f>False_Positive_Deep_Dive!A32</x:f>
        <x:v>prevent_igra_3hp_cov005</x:v>
      </x:c>
      <x:c r="I34" s="12" t="str">
        <x:f>False_Positive_Deep_Dive!B32</x:f>
        <x:v>prevent</x:v>
      </x:c>
      <x:c r="J34" s="12" t="n">
        <x:f>False_Positive_Deep_Dive!C32</x:f>
        <x:v>0.05</x:v>
      </x:c>
      <x:c r="K34" s="34" t="str">
        <x:f>False_Positive_Deep_Dive!W32</x:f>
      </x:c>
      <x:c r="L34" s="34" t="str">
        <x:f>False_Positive_Deep_Dive!X32</x:f>
      </x:c>
      <x:c r="M34" s="34" t="str">
        <x:f>False_Positive_Deep_Dive!Y32</x:f>
      </x:c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</x:row>
    <x:row r="35">
      <x:c r="A35" s="12" t="str">
        <x:f>False_Positive_Deep_Dive!A33</x:f>
        <x:v>prevent_igra_3hp_cov010</x:v>
      </x:c>
      <x:c r="B35" s="12" t="str">
        <x:f>False_Positive_Deep_Dive!B33</x:f>
        <x:v>prevent</x:v>
      </x:c>
      <x:c r="C35" s="32" t="n">
        <x:f>False_Positive_Deep_Dive!C33</x:f>
        <x:v>0.1</x:v>
      </x:c>
      <x:c r="D35" s="12" t="n">
        <x:f>False_Positive_Deep_Dive!I33</x:f>
        <x:v>0</x:v>
      </x:c>
      <x:c r="E35" s="12" t="n">
        <x:f>False_Positive_Deep_Dive!K33</x:f>
        <x:v>0</x:v>
      </x:c>
      <x:c r="F35" s="12" t="str">
        <x:f>False_Positive_Deep_Dive!R33</x:f>
      </x:c>
      <x:c r="G35" s="12"/>
      <x:c r="H35" s="12" t="str">
        <x:f>False_Positive_Deep_Dive!A33</x:f>
        <x:v>prevent_igra_3hp_cov010</x:v>
      </x:c>
      <x:c r="I35" s="12" t="str">
        <x:f>False_Positive_Deep_Dive!B33</x:f>
        <x:v>prevent</x:v>
      </x:c>
      <x:c r="J35" s="12" t="n">
        <x:f>False_Positive_Deep_Dive!C33</x:f>
        <x:v>0.1</x:v>
      </x:c>
      <x:c r="K35" s="34" t="str">
        <x:f>False_Positive_Deep_Dive!W33</x:f>
      </x:c>
      <x:c r="L35" s="34" t="str">
        <x:f>False_Positive_Deep_Dive!X33</x:f>
      </x:c>
      <x:c r="M35" s="34" t="str">
        <x:f>False_Positive_Deep_Dive!Y33</x:f>
      </x:c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</x:row>
    <x:row r="36">
      <x:c r="A36" s="12" t="str">
        <x:f>False_Positive_Deep_Dive!A34</x:f>
        <x:v>prevent_igra_3hp_cov015</x:v>
      </x:c>
      <x:c r="B36" s="12" t="str">
        <x:f>False_Positive_Deep_Dive!B34</x:f>
        <x:v>prevent</x:v>
      </x:c>
      <x:c r="C36" s="32" t="n">
        <x:f>False_Positive_Deep_Dive!C34</x:f>
        <x:v>0.15</x:v>
      </x:c>
      <x:c r="D36" s="12" t="n">
        <x:f>False_Positive_Deep_Dive!I34</x:f>
        <x:v>0</x:v>
      </x:c>
      <x:c r="E36" s="12" t="n">
        <x:f>False_Positive_Deep_Dive!K34</x:f>
        <x:v>0</x:v>
      </x:c>
      <x:c r="F36" s="12" t="str">
        <x:f>False_Positive_Deep_Dive!R34</x:f>
      </x:c>
      <x:c r="G36" s="12"/>
      <x:c r="H36" s="12" t="str">
        <x:f>False_Positive_Deep_Dive!A34</x:f>
        <x:v>prevent_igra_3hp_cov015</x:v>
      </x:c>
      <x:c r="I36" s="12" t="str">
        <x:f>False_Positive_Deep_Dive!B34</x:f>
        <x:v>prevent</x:v>
      </x:c>
      <x:c r="J36" s="12" t="n">
        <x:f>False_Positive_Deep_Dive!C34</x:f>
        <x:v>0.15</x:v>
      </x:c>
      <x:c r="K36" s="34" t="str">
        <x:f>False_Positive_Deep_Dive!W34</x:f>
      </x:c>
      <x:c r="L36" s="34" t="str">
        <x:f>False_Positive_Deep_Dive!X34</x:f>
      </x:c>
      <x:c r="M36" s="34" t="str">
        <x:f>False_Positive_Deep_Dive!Y34</x:f>
      </x:c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</x:row>
    <x:row r="37">
      <x:c r="A37" s="12" t="str">
        <x:f>False_Positive_Deep_Dive!A35</x:f>
        <x:v>prevent_igra_3hp_cov020</x:v>
      </x:c>
      <x:c r="B37" s="12" t="str">
        <x:f>False_Positive_Deep_Dive!B35</x:f>
        <x:v>prevent</x:v>
      </x:c>
      <x:c r="C37" s="32" t="n">
        <x:f>False_Positive_Deep_Dive!C35</x:f>
        <x:v>0.2</x:v>
      </x:c>
      <x:c r="D37" s="12" t="n">
        <x:f>False_Positive_Deep_Dive!I35</x:f>
        <x:v>0</x:v>
      </x:c>
      <x:c r="E37" s="12" t="n">
        <x:f>False_Positive_Deep_Dive!K35</x:f>
        <x:v>0</x:v>
      </x:c>
      <x:c r="F37" s="12" t="str">
        <x:f>False_Positive_Deep_Dive!R35</x:f>
      </x:c>
      <x:c r="G37" s="12"/>
      <x:c r="H37" s="12" t="str">
        <x:f>False_Positive_Deep_Dive!A35</x:f>
        <x:v>prevent_igra_3hp_cov020</x:v>
      </x:c>
      <x:c r="I37" s="12" t="str">
        <x:f>False_Positive_Deep_Dive!B35</x:f>
        <x:v>prevent</x:v>
      </x:c>
      <x:c r="J37" s="12" t="n">
        <x:f>False_Positive_Deep_Dive!C35</x:f>
        <x:v>0.2</x:v>
      </x:c>
      <x:c r="K37" s="34" t="str">
        <x:f>False_Positive_Deep_Dive!W35</x:f>
      </x:c>
      <x:c r="L37" s="34" t="str">
        <x:f>False_Positive_Deep_Dive!X35</x:f>
      </x:c>
      <x:c r="M37" s="34" t="str">
        <x:f>False_Positive_Deep_Dive!Y35</x:f>
      </x:c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</x:row>
    <x:row r="38">
      <x:c r="A38" s="12" t="str">
        <x:f>False_Positive_Deep_Dive!A36</x:f>
        <x:v>prevent_igra_3hp_cov030</x:v>
      </x:c>
      <x:c r="B38" s="12" t="str">
        <x:f>False_Positive_Deep_Dive!B36</x:f>
        <x:v>prevent</x:v>
      </x:c>
      <x:c r="C38" s="32" t="n">
        <x:f>False_Positive_Deep_Dive!C36</x:f>
        <x:v>0.3</x:v>
      </x:c>
      <x:c r="D38" s="12" t="n">
        <x:f>False_Positive_Deep_Dive!I36</x:f>
        <x:v>0</x:v>
      </x:c>
      <x:c r="E38" s="12" t="n">
        <x:f>False_Positive_Deep_Dive!K36</x:f>
        <x:v>0</x:v>
      </x:c>
      <x:c r="F38" s="12" t="str">
        <x:f>False_Positive_Deep_Dive!R36</x:f>
      </x:c>
      <x:c r="G38" s="12"/>
      <x:c r="H38" s="12" t="str">
        <x:f>False_Positive_Deep_Dive!A36</x:f>
        <x:v>prevent_igra_3hp_cov030</x:v>
      </x:c>
      <x:c r="I38" s="12" t="str">
        <x:f>False_Positive_Deep_Dive!B36</x:f>
        <x:v>prevent</x:v>
      </x:c>
      <x:c r="J38" s="12" t="n">
        <x:f>False_Positive_Deep_Dive!C36</x:f>
        <x:v>0.3</x:v>
      </x:c>
      <x:c r="K38" s="34" t="str">
        <x:f>False_Positive_Deep_Dive!W36</x:f>
      </x:c>
      <x:c r="L38" s="34" t="str">
        <x:f>False_Positive_Deep_Dive!X36</x:f>
      </x:c>
      <x:c r="M38" s="34" t="str">
        <x:f>False_Positive_Deep_Dive!Y36</x:f>
      </x:c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</x:row>
    <x:row r="39">
      <x:c r="A39" s="12" t="str">
        <x:f>False_Positive_Deep_Dive!A37</x:f>
        <x:v>prevent_igra_3hp_cov040</x:v>
      </x:c>
      <x:c r="B39" s="12" t="str">
        <x:f>False_Positive_Deep_Dive!B37</x:f>
        <x:v>prevent</x:v>
      </x:c>
      <x:c r="C39" s="32" t="n">
        <x:f>False_Positive_Deep_Dive!C37</x:f>
        <x:v>0.4</x:v>
      </x:c>
      <x:c r="D39" s="12" t="n">
        <x:f>False_Positive_Deep_Dive!I37</x:f>
        <x:v>0</x:v>
      </x:c>
      <x:c r="E39" s="12" t="n">
        <x:f>False_Positive_Deep_Dive!K37</x:f>
        <x:v>0</x:v>
      </x:c>
      <x:c r="F39" s="12" t="str">
        <x:f>False_Positive_Deep_Dive!R37</x:f>
      </x:c>
      <x:c r="G39" s="12"/>
      <x:c r="H39" s="12" t="str">
        <x:f>False_Positive_Deep_Dive!A37</x:f>
        <x:v>prevent_igra_3hp_cov040</x:v>
      </x:c>
      <x:c r="I39" s="12" t="str">
        <x:f>False_Positive_Deep_Dive!B37</x:f>
        <x:v>prevent</x:v>
      </x:c>
      <x:c r="J39" s="12" t="n">
        <x:f>False_Positive_Deep_Dive!C37</x:f>
        <x:v>0.4</x:v>
      </x:c>
      <x:c r="K39" s="34" t="str">
        <x:f>False_Positive_Deep_Dive!W37</x:f>
      </x:c>
      <x:c r="L39" s="34" t="str">
        <x:f>False_Positive_Deep_Dive!X37</x:f>
      </x:c>
      <x:c r="M39" s="34" t="str">
        <x:f>False_Positive_Deep_Dive!Y37</x:f>
      </x:c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</x:row>
    <x:row r="40">
      <x:c r="A40" s="12" t="str">
        <x:f>False_Positive_Deep_Dive!A38</x:f>
        <x:v>prevent_igra_3hp_cov050</x:v>
      </x:c>
      <x:c r="B40" s="12" t="str">
        <x:f>False_Positive_Deep_Dive!B38</x:f>
        <x:v>prevent</x:v>
      </x:c>
      <x:c r="C40" s="32" t="n">
        <x:f>False_Positive_Deep_Dive!C38</x:f>
        <x:v>0.5</x:v>
      </x:c>
      <x:c r="D40" s="12" t="n">
        <x:f>False_Positive_Deep_Dive!I38</x:f>
        <x:v>0</x:v>
      </x:c>
      <x:c r="E40" s="12" t="n">
        <x:f>False_Positive_Deep_Dive!K38</x:f>
        <x:v>0</x:v>
      </x:c>
      <x:c r="F40" s="12" t="str">
        <x:f>False_Positive_Deep_Dive!R38</x:f>
      </x:c>
      <x:c r="G40" s="12"/>
      <x:c r="H40" s="12" t="str">
        <x:f>False_Positive_Deep_Dive!A38</x:f>
        <x:v>prevent_igra_3hp_cov050</x:v>
      </x:c>
      <x:c r="I40" s="12" t="str">
        <x:f>False_Positive_Deep_Dive!B38</x:f>
        <x:v>prevent</x:v>
      </x:c>
      <x:c r="J40" s="12" t="n">
        <x:f>False_Positive_Deep_Dive!C38</x:f>
        <x:v>0.5</x:v>
      </x:c>
      <x:c r="K40" s="34" t="str">
        <x:f>False_Positive_Deep_Dive!W38</x:f>
      </x:c>
      <x:c r="L40" s="34" t="str">
        <x:f>False_Positive_Deep_Dive!X38</x:f>
      </x:c>
      <x:c r="M40" s="34" t="str">
        <x:f>False_Positive_Deep_Dive!Y38</x:f>
      </x:c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</x:row>
    <x:row r="41">
      <x:c r="A41" s="12" t="str">
        <x:f>False_Positive_Deep_Dive!A39</x:f>
        <x:v>prevent_igra_3hp_cov060</x:v>
      </x:c>
      <x:c r="B41" s="12" t="str">
        <x:f>False_Positive_Deep_Dive!B39</x:f>
        <x:v>prevent</x:v>
      </x:c>
      <x:c r="C41" s="32" t="n">
        <x:f>False_Positive_Deep_Dive!C39</x:f>
        <x:v>0.6</x:v>
      </x:c>
      <x:c r="D41" s="12" t="n">
        <x:f>False_Positive_Deep_Dive!I39</x:f>
        <x:v>0</x:v>
      </x:c>
      <x:c r="E41" s="12" t="n">
        <x:f>False_Positive_Deep_Dive!K39</x:f>
        <x:v>0</x:v>
      </x:c>
      <x:c r="F41" s="12" t="str">
        <x:f>False_Positive_Deep_Dive!R39</x:f>
      </x:c>
      <x:c r="G41" s="12"/>
      <x:c r="H41" s="12" t="str">
        <x:f>False_Positive_Deep_Dive!A39</x:f>
        <x:v>prevent_igra_3hp_cov060</x:v>
      </x:c>
      <x:c r="I41" s="12" t="str">
        <x:f>False_Positive_Deep_Dive!B39</x:f>
        <x:v>prevent</x:v>
      </x:c>
      <x:c r="J41" s="12" t="n">
        <x:f>False_Positive_Deep_Dive!C39</x:f>
        <x:v>0.6</x:v>
      </x:c>
      <x:c r="K41" s="34" t="str">
        <x:f>False_Positive_Deep_Dive!W39</x:f>
      </x:c>
      <x:c r="L41" s="34" t="str">
        <x:f>False_Positive_Deep_Dive!X39</x:f>
      </x:c>
      <x:c r="M41" s="34" t="str">
        <x:f>False_Positive_Deep_Dive!Y39</x:f>
      </x:c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</x:row>
    <x:row r="42">
      <x:c r="A42" s="12" t="str">
        <x:f>False_Positive_Deep_Dive!A40</x:f>
        <x:v>prevent_igra_3hp_cov080</x:v>
      </x:c>
      <x:c r="B42" s="12" t="str">
        <x:f>False_Positive_Deep_Dive!B40</x:f>
        <x:v>prevent</x:v>
      </x:c>
      <x:c r="C42" s="32" t="n">
        <x:f>False_Positive_Deep_Dive!C40</x:f>
        <x:v>0.8</x:v>
      </x:c>
      <x:c r="D42" s="12" t="n">
        <x:f>False_Positive_Deep_Dive!I40</x:f>
        <x:v>0</x:v>
      </x:c>
      <x:c r="E42" s="12" t="n">
        <x:f>False_Positive_Deep_Dive!K40</x:f>
        <x:v>0</x:v>
      </x:c>
      <x:c r="F42" s="12" t="str">
        <x:f>False_Positive_Deep_Dive!R40</x:f>
      </x:c>
      <x:c r="G42" s="12"/>
      <x:c r="H42" s="12" t="str">
        <x:f>False_Positive_Deep_Dive!A40</x:f>
        <x:v>prevent_igra_3hp_cov080</x:v>
      </x:c>
      <x:c r="I42" s="12" t="str">
        <x:f>False_Positive_Deep_Dive!B40</x:f>
        <x:v>prevent</x:v>
      </x:c>
      <x:c r="J42" s="12" t="n">
        <x:f>False_Positive_Deep_Dive!C40</x:f>
        <x:v>0.8</x:v>
      </x:c>
      <x:c r="K42" s="34" t="str">
        <x:f>False_Positive_Deep_Dive!W40</x:f>
      </x:c>
      <x:c r="L42" s="34" t="str">
        <x:f>False_Positive_Deep_Dive!X40</x:f>
      </x:c>
      <x:c r="M42" s="34" t="str">
        <x:f>False_Positive_Deep_Dive!Y40</x:f>
      </x:c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</x:row>
    <x:row r="43">
      <x:c r="A43" s="12" t="str">
        <x:f>False_Positive_Deep_Dive!A41</x:f>
        <x:v>prevent_igra_3hp_cov100</x:v>
      </x:c>
      <x:c r="B43" s="12" t="str">
        <x:f>False_Positive_Deep_Dive!B41</x:f>
        <x:v>prevent</x:v>
      </x:c>
      <x:c r="C43" s="32" t="n">
        <x:f>False_Positive_Deep_Dive!C41</x:f>
        <x:v>1</x:v>
      </x:c>
      <x:c r="D43" s="12" t="n">
        <x:f>False_Positive_Deep_Dive!I41</x:f>
        <x:v>0</x:v>
      </x:c>
      <x:c r="E43" s="12" t="n">
        <x:f>False_Positive_Deep_Dive!K41</x:f>
        <x:v>0</x:v>
      </x:c>
      <x:c r="F43" s="12" t="n">
        <x:f>False_Positive_Deep_Dive!R41</x:f>
        <x:v>0</x:v>
      </x:c>
      <x:c r="G43" s="12"/>
      <x:c r="H43" s="12" t="str">
        <x:f>False_Positive_Deep_Dive!A41</x:f>
        <x:v>prevent_igra_3hp_cov100</x:v>
      </x:c>
      <x:c r="I43" s="12" t="str">
        <x:f>False_Positive_Deep_Dive!B41</x:f>
        <x:v>prevent</x:v>
      </x:c>
      <x:c r="J43" s="12" t="n">
        <x:f>False_Positive_Deep_Dive!C41</x:f>
        <x:v>1</x:v>
      </x:c>
      <x:c r="K43" s="34" t="n">
        <x:f>False_Positive_Deep_Dive!W41</x:f>
        <x:v>0</x:v>
      </x:c>
      <x:c r="L43" s="34" t="n">
        <x:f>False_Positive_Deep_Dive!X41</x:f>
        <x:v>0</x:v>
      </x:c>
      <x:c r="M43" s="34" t="n">
        <x:f>False_Positive_Deep_Dive!Y41</x:f>
        <x:v>0</x:v>
      </x:c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</x:row>
  </x:sheetData>
  <x:pageMargins left="0.7" right="0.7" top="0.75" bottom="0.75" header="0.3" footer="0.3"/>
  <x:tableParts count="2">
    <x:tablePart xmlns:r="http://schemas.openxmlformats.org/officeDocument/2006/relationships" r:id="R2fb531eebcf34d41"/>
    <x:tablePart xmlns:r="http://schemas.openxmlformats.org/officeDocument/2006/relationships" r:id="R98372584a8514f8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  <x:col min="3" max="3" width="28" hidden="0" customWidth="1"/>
  </x:cols>
  <x:sheetData>
    <x:row r="1">
      <x:c r="A1" s="18" t="str">
        <x:v>Term</x:v>
      </x:c>
      <x:c r="B1" s="18" t="str">
        <x:v>Definition / formula</x:v>
      </x:c>
      <x:c r="C1" s="18" t="str">
        <x:v>Typical source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</x:row>
    <x:row r="2">
      <x:c r="A2" s="12" t="str">
        <x:v>nScreened</x:v>
      </x:c>
      <x:c r="B2" s="12" t="str">
        <x:v>Number screened under a strategy and coverage level.</x:v>
      </x:c>
      <x:c r="C2" s="12" t="str">
        <x:v>APY model output</x:v>
      </x:c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</x:row>
    <x:row r="3">
      <x:c r="A3" s="12" t="str">
        <x:v>nTestPositiveNonActive</x:v>
      </x:c>
      <x:c r="B3" s="12" t="str">
        <x:v>Test-positive people who are not active TB at screening; includes true LTBI positives and false-positive tests.</x:v>
      </x:c>
      <x:c r="C3" s="12" t="str">
        <x:v>APY model output</x:v>
      </x:c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</x:row>
    <x:row r="4">
      <x:c r="A4" s="12" t="str">
        <x:v>nFalsePositiveTests</x:v>
      </x:c>
      <x:c r="B4" s="12" t="str">
        <x:v>Uninfected people who return a positive test result.</x:v>
      </x:c>
      <x:c r="C4" s="12" t="str">
        <x:v>APY model output</x:v>
      </x:c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</x:row>
    <x:row r="5">
      <x:c r="A5" s="12" t="str">
        <x:v>nTruePositiveTests</x:v>
      </x:c>
      <x:c r="B5" s="12" t="str">
        <x:v>nTestPositiveNonActive - nFalsePositiveTests. Interpreted as LTBI-positive test positives without active TB at screening.</x:v>
      </x:c>
      <x:c r="C5" s="12" t="str">
        <x:v>Workbook formula</x:v>
      </x:c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</x:row>
    <x:row r="6">
      <x:c r="A6" s="12" t="str">
        <x:v>nFalsePositiveTreated</x:v>
      </x:c>
      <x:c r="B6" s="12" t="str">
        <x:v>False-positive people who start preventive treatment.</x:v>
      </x:c>
      <x:c r="C6" s="12" t="str">
        <x:v>APY model output</x:v>
      </x:c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</x:row>
    <x:row r="7">
      <x:c r="A7" s="12" t="str">
        <x:v>nTotalCoursesStarted</x:v>
      </x:c>
      <x:c r="B7" s="12" t="str">
        <x:v>All preventive treatment courses started.</x:v>
      </x:c>
      <x:c r="C7" s="12" t="str">
        <x:v>APY model output</x:v>
      </x:c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</x:row>
    <x:row r="8">
      <x:c r="A8" s="12" t="str">
        <x:v>nTruePositiveTreated</x:v>
      </x:c>
      <x:c r="B8" s="12" t="str">
        <x:v>nTotalCoursesStarted - nFalsePositiveTreated. Interpreted as true LTBI positives who start treatment.</x:v>
      </x:c>
      <x:c r="C8" s="12" t="str">
        <x:v>Workbook formula</x:v>
      </x:c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</x:row>
    <x:row r="9">
      <x:c r="A9" s="12" t="str">
        <x:v>PPV_trueAmongTestPositive</x:v>
      </x:c>
      <x:c r="B9" s="12" t="str">
        <x:v>nTruePositiveTests / nTestPositiveNonActive.</x:v>
      </x:c>
      <x:c r="C9" s="12" t="str">
        <x:v>Workbook formula</x:v>
      </x:c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</x:row>
    <x:row r="10">
      <x:c r="A10" s="12" t="str">
        <x:v>falsePositiveShareAmongTestPositive</x:v>
      </x:c>
      <x:c r="B10" s="12" t="str">
        <x:v>nFalsePositiveTests / nTestPositiveNonActive.</x:v>
      </x:c>
      <x:c r="C10" s="12" t="str">
        <x:v>Workbook formula</x:v>
      </x:c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</x:row>
    <x:row r="11">
      <x:c r="A11" s="12" t="str">
        <x:v>falsePositiveTreatedShareAmongCoursesStarted</x:v>
      </x:c>
      <x:c r="B11" s="12" t="str">
        <x:v>nFalsePositiveTreated / nTotalCoursesStarted.</x:v>
      </x:c>
      <x:c r="C11" s="12" t="str">
        <x:v>Workbook formula</x:v>
      </x:c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</x:row>
    <x:row r="12">
      <x:c r="A12" s="12" t="str">
        <x:v>falsePositiveTestsPerTruePositiveTest</x:v>
      </x:c>
      <x:c r="B12" s="12" t="str">
        <x:v>nFalsePositiveTests / nTruePositiveTests. How many test-level false positives occur per true positive.</x:v>
      </x:c>
      <x:c r="C12" s="12" t="str">
        <x:v>Workbook formula</x:v>
      </x:c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</x:row>
    <x:row r="13">
      <x:c r="A13" s="12" t="str">
        <x:v>falsePositiveTreatedPerTruePositiveTreated</x:v>
      </x:c>
      <x:c r="B13" s="12" t="str">
        <x:v>nFalsePositiveTreated / nTruePositiveTreated. Treatment-level false-positive burden.</x:v>
      </x:c>
      <x:c r="C13" s="12" t="str">
        <x:v>Workbook formula</x:v>
      </x:c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</x:row>
    <x:row r="14">
      <x:c r="A14" s="12" t="str">
        <x:v>BCG-specific false positives</x:v>
      </x:c>
      <x:c r="B14" s="12" t="str">
        <x:v>Use nFalsePositiveTestsBCG and nFalsePositiveTestsNoBCG when TST is used or BCG-specific specificity is being audited.</x:v>
      </x:c>
      <x:c r="C14" s="12" t="str">
        <x:v>APY model output</x:v>
      </x:c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</x:row>
    <x:row r="15">
      <x:c r="A15" s="12" t="str">
        <x:v>Coverage level</x:v>
      </x:c>
      <x:c r="B15" s="12" t="str">
        <x:v>screenCoverage; in this template 5% to 100%.</x:v>
      </x:c>
      <x:c r="C15" s="12" t="str">
        <x:v>Run plan / APY config</x:v>
      </x:c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</x:row>
    <x:row r="16">
      <x:c r="A16" s="12" t="str">
        <x:v>Strategy</x:v>
      </x:c>
      <x:c r="B16" s="12" t="str">
        <x:v>random, ltbi, cure, prevent.</x:v>
      </x:c>
      <x:c r="C16" s="12" t="str">
        <x:v>Run plan / APY config</x:v>
      </x:c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</x:row>
  </x:sheetData>
  <x:pageMargins left="0.7" right="0.7" top="0.75" bottom="0.75" header="0.3" footer="0.3"/>
  <x:tableParts count="1">
    <x:tablePart xmlns:r="http://schemas.openxmlformats.org/officeDocument/2006/relationships" r:id="R1eb163576bf94e59"/>
  </x:tableParts>
</x:worksheet>
</file>