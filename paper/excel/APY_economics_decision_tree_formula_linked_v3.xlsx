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s\Documents\GITHUB\tb-community-risk\paper\excel\"/>
    </mc:Choice>
  </mc:AlternateContent>
  <xr:revisionPtr revIDLastSave="0" documentId="13_ncr:1_{3E783848-9D07-4530-A9E7-7AA6C8C7257D}" xr6:coauthVersionLast="47" xr6:coauthVersionMax="47" xr10:uidLastSave="{00000000-0000-0000-0000-000000000000}"/>
  <bookViews>
    <workbookView xWindow="-110" yWindow="-110" windowWidth="19420" windowHeight="11500" activeTab="9" xr2:uid="{00000000-000D-0000-FFFF-FFFF00000000}"/>
  </bookViews>
  <sheets>
    <sheet name="README" sheetId="1" r:id="rId1"/>
    <sheet name="Inputs_Assumptions" sheetId="2" r:id="rId2"/>
    <sheet name="Model_Outputs" sheetId="3" r:id="rId3"/>
    <sheet name="Economic_Calculations" sheetId="4" r:id="rId4"/>
    <sheet name="Strategy_Summary" sheetId="5" r:id="rId5"/>
    <sheet name="Cost_Saving_Check" sheetId="6" r:id="rId6"/>
    <sheet name="Decision_Tree" sheetId="7" r:id="rId7"/>
    <sheet name="Sensitivity" sheetId="8" r:id="rId8"/>
    <sheet name="Chart_Data" sheetId="9" r:id="rId9"/>
    <sheet name="Editable_Charts" sheetId="10" r:id="rId10"/>
    <sheet name="Formula_Audit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1" l="1"/>
  <c r="B12" i="11"/>
  <c r="B11" i="11"/>
  <c r="A49" i="7"/>
  <c r="A48" i="7"/>
  <c r="A47" i="7"/>
  <c r="A46" i="7"/>
  <c r="A45" i="7"/>
  <c r="F44" i="7"/>
  <c r="A44" i="7"/>
  <c r="A43" i="7"/>
  <c r="F42" i="7"/>
  <c r="A42" i="7"/>
  <c r="A41" i="7"/>
  <c r="A40" i="7"/>
  <c r="A39" i="7"/>
  <c r="D38" i="7"/>
  <c r="A38" i="7"/>
  <c r="A37" i="7"/>
  <c r="A36" i="7"/>
  <c r="A35" i="7"/>
  <c r="A34" i="7"/>
  <c r="A33" i="7"/>
  <c r="F32" i="7"/>
  <c r="A32" i="7"/>
  <c r="A31" i="7"/>
  <c r="F30" i="7"/>
  <c r="A30" i="7"/>
  <c r="A29" i="7"/>
  <c r="A28" i="7"/>
  <c r="A27" i="7"/>
  <c r="D26" i="7"/>
  <c r="A26" i="7"/>
  <c r="A25" i="7"/>
  <c r="A24" i="7"/>
  <c r="A23" i="7"/>
  <c r="A22" i="7"/>
  <c r="A21" i="7"/>
  <c r="F20" i="7"/>
  <c r="A20" i="7"/>
  <c r="A19" i="7"/>
  <c r="F18" i="7"/>
  <c r="A18" i="7"/>
  <c r="A17" i="7"/>
  <c r="A16" i="7"/>
  <c r="A15" i="7"/>
  <c r="D14" i="7"/>
  <c r="A14" i="7"/>
  <c r="A13" i="7"/>
  <c r="A12" i="7"/>
  <c r="A11" i="7"/>
  <c r="A10" i="7"/>
  <c r="A9" i="7"/>
  <c r="F8" i="7"/>
  <c r="A8" i="7"/>
  <c r="A7" i="7"/>
  <c r="F6" i="7"/>
  <c r="A6" i="7"/>
  <c r="A5" i="7"/>
  <c r="A4" i="7"/>
  <c r="A3" i="7"/>
  <c r="D2" i="7"/>
  <c r="A2" i="7"/>
  <c r="B5" i="6"/>
  <c r="A5" i="6"/>
  <c r="A4" i="6"/>
  <c r="A3" i="6"/>
  <c r="B2" i="6"/>
  <c r="A2" i="6"/>
  <c r="B5" i="5"/>
  <c r="G5" i="9" s="1"/>
  <c r="A5" i="5"/>
  <c r="A5" i="9" s="1"/>
  <c r="A4" i="5"/>
  <c r="A4" i="9" s="1"/>
  <c r="A3" i="5"/>
  <c r="A3" i="9" s="1"/>
  <c r="A2" i="5"/>
  <c r="A2" i="9" s="1"/>
  <c r="AQ5" i="4"/>
  <c r="AD5" i="4"/>
  <c r="AC5" i="4"/>
  <c r="V5" i="4"/>
  <c r="U5" i="4"/>
  <c r="G5" i="6" s="1"/>
  <c r="Q5" i="4"/>
  <c r="P5" i="4"/>
  <c r="O5" i="4"/>
  <c r="N5" i="4"/>
  <c r="AK5" i="4" s="1"/>
  <c r="AM5" i="4" s="1"/>
  <c r="M5" i="4"/>
  <c r="E43" i="7" s="1"/>
  <c r="L5" i="4"/>
  <c r="E42" i="7" s="1"/>
  <c r="K5" i="4"/>
  <c r="E41" i="7" s="1"/>
  <c r="J5" i="4"/>
  <c r="Y5" i="4" s="1"/>
  <c r="I5" i="4"/>
  <c r="E39" i="7" s="1"/>
  <c r="H5" i="4"/>
  <c r="G5" i="4"/>
  <c r="F5" i="4"/>
  <c r="E5" i="4"/>
  <c r="D5" i="4"/>
  <c r="E38" i="7" s="1"/>
  <c r="C5" i="4"/>
  <c r="B5" i="4"/>
  <c r="AQ4" i="4"/>
  <c r="V4" i="4"/>
  <c r="U4" i="4"/>
  <c r="T4" i="4"/>
  <c r="G30" i="7" s="1"/>
  <c r="Q4" i="4"/>
  <c r="P4" i="4"/>
  <c r="AD4" i="4" s="1"/>
  <c r="O4" i="4"/>
  <c r="AC4" i="4" s="1"/>
  <c r="N4" i="4"/>
  <c r="AO4" i="4" s="1"/>
  <c r="M4" i="4"/>
  <c r="E31" i="7" s="1"/>
  <c r="L4" i="4"/>
  <c r="E30" i="7" s="1"/>
  <c r="K4" i="4"/>
  <c r="E29" i="7" s="1"/>
  <c r="J4" i="4"/>
  <c r="I4" i="4"/>
  <c r="E27" i="7" s="1"/>
  <c r="H4" i="4"/>
  <c r="G4" i="4"/>
  <c r="F4" i="4"/>
  <c r="E4" i="4"/>
  <c r="D4" i="4"/>
  <c r="C4" i="4"/>
  <c r="B4" i="4"/>
  <c r="AQ3" i="4"/>
  <c r="V3" i="4"/>
  <c r="U3" i="4"/>
  <c r="G3" i="6" s="1"/>
  <c r="Q3" i="4"/>
  <c r="P3" i="4"/>
  <c r="AD3" i="4" s="1"/>
  <c r="O3" i="4"/>
  <c r="AC3" i="4" s="1"/>
  <c r="N3" i="4"/>
  <c r="AO3" i="4" s="1"/>
  <c r="M3" i="4"/>
  <c r="E19" i="7" s="1"/>
  <c r="L3" i="4"/>
  <c r="E18" i="7" s="1"/>
  <c r="K3" i="4"/>
  <c r="E17" i="7" s="1"/>
  <c r="J3" i="4"/>
  <c r="D17" i="7" s="1"/>
  <c r="I3" i="4"/>
  <c r="W3" i="4" s="1"/>
  <c r="H3" i="4"/>
  <c r="G3" i="4"/>
  <c r="F3" i="4"/>
  <c r="E3" i="4"/>
  <c r="D3" i="4"/>
  <c r="C3" i="4"/>
  <c r="B3" i="4"/>
  <c r="R3" i="4" s="1"/>
  <c r="E3" i="6" s="1"/>
  <c r="AQ2" i="4"/>
  <c r="AK2" i="4"/>
  <c r="AM2" i="4" s="1"/>
  <c r="X2" i="4"/>
  <c r="V2" i="4"/>
  <c r="U2" i="4"/>
  <c r="G2" i="6" s="1"/>
  <c r="Q2" i="4"/>
  <c r="P2" i="4"/>
  <c r="AD2" i="4" s="1"/>
  <c r="O2" i="4"/>
  <c r="AC2" i="4" s="1"/>
  <c r="N2" i="4"/>
  <c r="AB2" i="4" s="1"/>
  <c r="M2" i="4"/>
  <c r="E7" i="7" s="1"/>
  <c r="L2" i="4"/>
  <c r="E6" i="7" s="1"/>
  <c r="K2" i="4"/>
  <c r="E5" i="7" s="1"/>
  <c r="J2" i="4"/>
  <c r="Y2" i="4" s="1"/>
  <c r="I2" i="4"/>
  <c r="Z2" i="4" s="1"/>
  <c r="H2" i="4"/>
  <c r="G2" i="4"/>
  <c r="F2" i="4"/>
  <c r="E2" i="4"/>
  <c r="D2" i="4"/>
  <c r="E2" i="7" s="1"/>
  <c r="C2" i="4"/>
  <c r="B2" i="4"/>
  <c r="T2" i="4" l="1"/>
  <c r="G6" i="7" s="1"/>
  <c r="E20" i="7"/>
  <c r="D8" i="7"/>
  <c r="T3" i="4"/>
  <c r="G18" i="7" s="1"/>
  <c r="AP4" i="4"/>
  <c r="AB3" i="4"/>
  <c r="C3" i="6" s="1"/>
  <c r="B4" i="5"/>
  <c r="G4" i="9" s="1"/>
  <c r="AK4" i="4"/>
  <c r="AM4" i="4" s="1"/>
  <c r="B3" i="5"/>
  <c r="G3" i="9" s="1"/>
  <c r="AK3" i="4"/>
  <c r="AM3" i="4" s="1"/>
  <c r="Z5" i="4"/>
  <c r="W5" i="4"/>
  <c r="W4" i="4"/>
  <c r="X5" i="4"/>
  <c r="R5" i="4"/>
  <c r="G39" i="7" s="1"/>
  <c r="R4" i="4"/>
  <c r="AA4" i="4" s="1"/>
  <c r="AR4" i="4"/>
  <c r="I34" i="7" s="1"/>
  <c r="AP2" i="4"/>
  <c r="B2" i="5"/>
  <c r="G2" i="9" s="1"/>
  <c r="G4" i="6"/>
  <c r="D40" i="7"/>
  <c r="D4" i="7"/>
  <c r="Z4" i="4"/>
  <c r="D19" i="7"/>
  <c r="E4" i="7"/>
  <c r="D39" i="7"/>
  <c r="B3" i="6"/>
  <c r="S3" i="4"/>
  <c r="F3" i="6" s="1"/>
  <c r="D20" i="7"/>
  <c r="D27" i="7"/>
  <c r="B4" i="6"/>
  <c r="T5" i="4"/>
  <c r="H5" i="6" s="1"/>
  <c r="E16" i="7"/>
  <c r="G8" i="7"/>
  <c r="C2" i="6"/>
  <c r="E4" i="6"/>
  <c r="W2" i="4"/>
  <c r="Y4" i="4"/>
  <c r="E3" i="7"/>
  <c r="E14" i="7"/>
  <c r="AO2" i="4"/>
  <c r="AR2" i="4" s="1"/>
  <c r="X3" i="4"/>
  <c r="S4" i="4"/>
  <c r="AL5" i="4"/>
  <c r="AN5" i="4" s="1"/>
  <c r="H2" i="6"/>
  <c r="H3" i="6"/>
  <c r="H4" i="6"/>
  <c r="D15" i="7"/>
  <c r="D32" i="7"/>
  <c r="E40" i="7"/>
  <c r="D43" i="7"/>
  <c r="R2" i="4"/>
  <c r="Y3" i="4"/>
  <c r="E15" i="7"/>
  <c r="D18" i="7"/>
  <c r="E26" i="7"/>
  <c r="D29" i="7"/>
  <c r="E32" i="7"/>
  <c r="S2" i="4"/>
  <c r="Z3" i="4"/>
  <c r="AL3" i="4"/>
  <c r="AN3" i="4" s="1"/>
  <c r="AB5" i="4"/>
  <c r="F15" i="7"/>
  <c r="AO5" i="4"/>
  <c r="D7" i="7"/>
  <c r="G15" i="7"/>
  <c r="D44" i="7"/>
  <c r="AP5" i="4"/>
  <c r="D30" i="7"/>
  <c r="D41" i="7"/>
  <c r="E44" i="7"/>
  <c r="X4" i="4"/>
  <c r="S5" i="4"/>
  <c r="D16" i="7"/>
  <c r="AL4" i="4"/>
  <c r="AN4" i="4" s="1"/>
  <c r="D5" i="7"/>
  <c r="E8" i="7"/>
  <c r="D42" i="7"/>
  <c r="D28" i="7"/>
  <c r="AB4" i="4"/>
  <c r="D3" i="7"/>
  <c r="E28" i="7"/>
  <c r="D31" i="7"/>
  <c r="AL2" i="4"/>
  <c r="AN2" i="4" s="1"/>
  <c r="AP3" i="4"/>
  <c r="AR3" i="4" s="1"/>
  <c r="D6" i="7"/>
  <c r="G20" i="7" l="1"/>
  <c r="E4" i="5"/>
  <c r="C4" i="9" s="1"/>
  <c r="G27" i="7"/>
  <c r="F27" i="7"/>
  <c r="AA5" i="4"/>
  <c r="F39" i="7"/>
  <c r="G42" i="7"/>
  <c r="AA3" i="4"/>
  <c r="AF3" i="4" s="1"/>
  <c r="F16" i="7"/>
  <c r="G16" i="7"/>
  <c r="E5" i="6"/>
  <c r="AE3" i="4"/>
  <c r="AV3" i="4" s="1"/>
  <c r="E3" i="5"/>
  <c r="C3" i="9" s="1"/>
  <c r="I22" i="7"/>
  <c r="D4" i="6"/>
  <c r="AY4" i="4"/>
  <c r="AG4" i="4"/>
  <c r="AF4" i="4"/>
  <c r="AE4" i="4"/>
  <c r="AV4" i="4" s="1"/>
  <c r="AH4" i="4"/>
  <c r="I45" i="7"/>
  <c r="D5" i="5"/>
  <c r="B5" i="9" s="1"/>
  <c r="C4" i="6"/>
  <c r="G32" i="7"/>
  <c r="D5" i="6"/>
  <c r="AH5" i="4"/>
  <c r="AG5" i="4"/>
  <c r="AE5" i="4"/>
  <c r="AU5" i="4" s="1"/>
  <c r="AY5" i="4"/>
  <c r="AF5" i="4"/>
  <c r="F3" i="7"/>
  <c r="E2" i="6"/>
  <c r="G3" i="7"/>
  <c r="AA2" i="4"/>
  <c r="D4" i="5"/>
  <c r="B4" i="9" s="1"/>
  <c r="I33" i="7"/>
  <c r="F5" i="6"/>
  <c r="G40" i="7"/>
  <c r="F40" i="7"/>
  <c r="D3" i="5"/>
  <c r="B3" i="9" s="1"/>
  <c r="I21" i="7"/>
  <c r="F2" i="6"/>
  <c r="G4" i="7"/>
  <c r="F4" i="7"/>
  <c r="G28" i="7"/>
  <c r="F28" i="7"/>
  <c r="F4" i="6"/>
  <c r="AR5" i="4"/>
  <c r="E2" i="5"/>
  <c r="C2" i="9" s="1"/>
  <c r="I10" i="7"/>
  <c r="C5" i="6"/>
  <c r="G44" i="7"/>
  <c r="I9" i="7"/>
  <c r="D2" i="5"/>
  <c r="B2" i="9" s="1"/>
  <c r="AU3" i="4" l="1"/>
  <c r="AH3" i="4"/>
  <c r="AY3" i="4"/>
  <c r="BA3" i="4" s="1"/>
  <c r="J3" i="9" s="1"/>
  <c r="D3" i="6"/>
  <c r="AV5" i="4"/>
  <c r="AG3" i="4"/>
  <c r="AW3" i="4"/>
  <c r="I3" i="5" s="1"/>
  <c r="AX3" i="4"/>
  <c r="J3" i="6" s="1"/>
  <c r="K3" i="6" s="1"/>
  <c r="BB5" i="4"/>
  <c r="K5" i="5"/>
  <c r="H5" i="9" s="1"/>
  <c r="BA5" i="4"/>
  <c r="J5" i="9" s="1"/>
  <c r="AT4" i="4"/>
  <c r="G35" i="7"/>
  <c r="AZ4" i="4"/>
  <c r="L4" i="5" s="1"/>
  <c r="I4" i="9" s="1"/>
  <c r="C4" i="5"/>
  <c r="D4" i="9" s="1"/>
  <c r="AJ4" i="4"/>
  <c r="H4" i="5" s="1"/>
  <c r="AI4" i="4"/>
  <c r="AS4" i="4"/>
  <c r="I4" i="6"/>
  <c r="L4" i="6" s="1"/>
  <c r="AW4" i="4"/>
  <c r="I4" i="5" s="1"/>
  <c r="AX4" i="4"/>
  <c r="AW5" i="4"/>
  <c r="I5" i="5" s="1"/>
  <c r="I46" i="7"/>
  <c r="E5" i="5"/>
  <c r="C5" i="9" s="1"/>
  <c r="AX5" i="4"/>
  <c r="AJ5" i="4"/>
  <c r="H5" i="5" s="1"/>
  <c r="AI5" i="4"/>
  <c r="AT5" i="4"/>
  <c r="C5" i="5"/>
  <c r="D5" i="9" s="1"/>
  <c r="AS5" i="4"/>
  <c r="AZ5" i="4"/>
  <c r="L5" i="5" s="1"/>
  <c r="I5" i="9" s="1"/>
  <c r="I5" i="6"/>
  <c r="L5" i="6" s="1"/>
  <c r="G47" i="7"/>
  <c r="AI3" i="4"/>
  <c r="AT3" i="4"/>
  <c r="AS3" i="4"/>
  <c r="G23" i="7"/>
  <c r="C3" i="5"/>
  <c r="D3" i="9" s="1"/>
  <c r="I3" i="6"/>
  <c r="L3" i="6" s="1"/>
  <c r="AJ3" i="4"/>
  <c r="H3" i="5" s="1"/>
  <c r="AZ3" i="4"/>
  <c r="L3" i="5" s="1"/>
  <c r="I3" i="9" s="1"/>
  <c r="AY2" i="4"/>
  <c r="AF2" i="4"/>
  <c r="D2" i="6"/>
  <c r="AH2" i="4"/>
  <c r="AE2" i="4"/>
  <c r="AG2" i="4"/>
  <c r="K3" i="5"/>
  <c r="H3" i="9" s="1"/>
  <c r="BB3" i="4"/>
  <c r="AU4" i="4"/>
  <c r="BB4" i="4"/>
  <c r="K4" i="5"/>
  <c r="H4" i="9" s="1"/>
  <c r="BA4" i="4"/>
  <c r="J4" i="9" s="1"/>
  <c r="J3" i="5" l="1"/>
  <c r="G5" i="5"/>
  <c r="F5" i="9" s="1"/>
  <c r="I49" i="7"/>
  <c r="F3" i="5"/>
  <c r="E3" i="9" s="1"/>
  <c r="I24" i="7"/>
  <c r="J5" i="6"/>
  <c r="K5" i="6" s="1"/>
  <c r="J5" i="5"/>
  <c r="G4" i="5"/>
  <c r="F4" i="9" s="1"/>
  <c r="I37" i="7"/>
  <c r="J4" i="6"/>
  <c r="K4" i="6" s="1"/>
  <c r="J4" i="5"/>
  <c r="G3" i="5"/>
  <c r="F3" i="9" s="1"/>
  <c r="I25" i="7"/>
  <c r="AZ2" i="4"/>
  <c r="L2" i="5" s="1"/>
  <c r="I2" i="9" s="1"/>
  <c r="AI2" i="4"/>
  <c r="AS2" i="4"/>
  <c r="C2" i="5"/>
  <c r="D2" i="9" s="1"/>
  <c r="AT2" i="4"/>
  <c r="G11" i="7"/>
  <c r="I2" i="6"/>
  <c r="L2" i="6" s="1"/>
  <c r="AJ2" i="4"/>
  <c r="H2" i="5" s="1"/>
  <c r="AX2" i="4"/>
  <c r="AW2" i="4"/>
  <c r="I2" i="5" s="1"/>
  <c r="AV2" i="4"/>
  <c r="AU2" i="4"/>
  <c r="K2" i="5"/>
  <c r="H2" i="9" s="1"/>
  <c r="BB2" i="4"/>
  <c r="BA2" i="4"/>
  <c r="J2" i="9" s="1"/>
  <c r="I48" i="7"/>
  <c r="F5" i="5"/>
  <c r="E5" i="9" s="1"/>
  <c r="I36" i="7"/>
  <c r="F4" i="5"/>
  <c r="E4" i="9" s="1"/>
  <c r="J2" i="6" l="1"/>
  <c r="K2" i="6" s="1"/>
  <c r="J2" i="5"/>
  <c r="G2" i="5"/>
  <c r="F2" i="9" s="1"/>
  <c r="I13" i="7"/>
  <c r="F2" i="5"/>
  <c r="E2" i="9" s="1"/>
  <c r="I12" i="7"/>
</calcChain>
</file>

<file path=xl/sharedStrings.xml><?xml version="1.0" encoding="utf-8"?>
<sst xmlns="http://schemas.openxmlformats.org/spreadsheetml/2006/main" count="1083" uniqueCount="283">
  <si>
    <t>APY economics formula-linked workbook</t>
  </si>
  <si>
    <t>Live audit layer for paper/report economics.</t>
  </si>
  <si>
    <t>Input workbook inspected</t>
  </si>
  <si>
    <t>C:\Users\emmas\Documents\GITHUB\tb-community-risk\APY_economics_decision_tree_and_editable_charts_v2.xlsx</t>
  </si>
  <si>
    <t>Strategy_Summary in input</t>
  </si>
  <si>
    <t>0 formula cells; 54 non-empty cells.</t>
  </si>
  <si>
    <t>Chart_Data in input</t>
  </si>
  <si>
    <t>0 formula cells; 137 non-empty cells.</t>
  </si>
  <si>
    <t>Model_Outputs</t>
  </si>
  <si>
    <t>Static APY stochastic model outputs imported from CSV. Do not edit unless refreshing after an APY rerun.</t>
  </si>
  <si>
    <t>Inputs_Assumptions</t>
  </si>
  <si>
    <t>Live editable assumptions. Changing costs, utilities, DALY/QALY inputs, and WTP thresholds updates economics and charts.</t>
  </si>
  <si>
    <t>Requires APY rerun</t>
  </si>
  <si>
    <t>Changing screening strategy, prevalence/risk inputs, treatment start probability, treatment effects, screened counts, TPT starts/completions, infections cured, or cases prevented requires rerunning APY and refreshing Model_Outputs.</t>
  </si>
  <si>
    <t>Excel recalculation</t>
  </si>
  <si>
    <t>Open the workbook in Excel and allow formulas to recalculate. Python writes formulas but does not evaluate final displayed values.</t>
  </si>
  <si>
    <t>Scope</t>
  </si>
  <si>
    <t>Excel is an audit/calculation layer, not the stochastic ABM.</t>
  </si>
  <si>
    <t>Chart fix v3</t>
  </si>
  <si>
    <t>Charts were rebuilt from formula-linked Chart_Data. Scatter charts use one visible marker series per strategy with plain-text strategy names.</t>
  </si>
  <si>
    <t>Open this workbook in Excel and allow recalculation. Chart values update when Inputs_Assumptions change.</t>
  </si>
  <si>
    <t>Input</t>
  </si>
  <si>
    <t>Value</t>
  </si>
  <si>
    <t>Units/source</t>
  </si>
  <si>
    <t>Status</t>
  </si>
  <si>
    <t>Notes</t>
  </si>
  <si>
    <t>IGRA cost</t>
  </si>
  <si>
    <t>AUD 2019</t>
  </si>
  <si>
    <t>editable</t>
  </si>
  <si>
    <t>Screening test unit cost.</t>
  </si>
  <si>
    <t>TST cost</t>
  </si>
  <si>
    <t>Alternative screening test unit cost.</t>
  </si>
  <si>
    <t>3HP cost</t>
  </si>
  <si>
    <t>Preventive treatment course cost.</t>
  </si>
  <si>
    <t>4R cost</t>
  </si>
  <si>
    <t>active TB disease cost per case</t>
  </si>
  <si>
    <t>Disease cost averted per active TB case prevented.</t>
  </si>
  <si>
    <t>programme setup cost</t>
  </si>
  <si>
    <t>AUD total</t>
  </si>
  <si>
    <t>UNRESOLVED</t>
  </si>
  <si>
    <t>Currently zero unless local programme costs are supplied.</t>
  </si>
  <si>
    <t>programme running cost</t>
  </si>
  <si>
    <t>false-positive incremental cost</t>
  </si>
  <si>
    <t>AUD/person</t>
  </si>
  <si>
    <t>Additional management cost per false-positive treatment course.</t>
  </si>
  <si>
    <t>return-for-results cost</t>
  </si>
  <si>
    <t>AUD/person screened</t>
  </si>
  <si>
    <t>Result return and communication cost.</t>
  </si>
  <si>
    <t>clinic review cost</t>
  </si>
  <si>
    <t>AUD/TPT start</t>
  </si>
  <si>
    <t>Clinical review cost for positive or treated participants.</t>
  </si>
  <si>
    <t>active TB exclusion / CXR / lab cost</t>
  </si>
  <si>
    <t>Active TB exclusion work-up cost.</t>
  </si>
  <si>
    <t>travel / outreach / staff support cost per screened person</t>
  </si>
  <si>
    <t>Travel, outreach, staff time, and follow-up support allocation.</t>
  </si>
  <si>
    <t>active TB disability weight</t>
  </si>
  <si>
    <t>DALY</t>
  </si>
  <si>
    <t>GBD-style active TB disability weight.</t>
  </si>
  <si>
    <t>active TB duration</t>
  </si>
  <si>
    <t>years</t>
  </si>
  <si>
    <t>Duration used for active TB YLD and QALY loss.</t>
  </si>
  <si>
    <t>TB case fatality risk</t>
  </si>
  <si>
    <t>probability</t>
  </si>
  <si>
    <t>Requires final clinical/methods review.</t>
  </si>
  <si>
    <t>YLL per TB death</t>
  </si>
  <si>
    <t>healthy/LTBI utility</t>
  </si>
  <si>
    <t>QALY</t>
  </si>
  <si>
    <t>Dale-informed baseline utility.</t>
  </si>
  <si>
    <t>active TB utility</t>
  </si>
  <si>
    <t>Dale-informed active TB utility.</t>
  </si>
  <si>
    <t>SAE utility</t>
  </si>
  <si>
    <t>Recorded assumption; SAE event detail may require model-output extraction.</t>
  </si>
  <si>
    <t>SAE duration</t>
  </si>
  <si>
    <t>Assumed SAE duration if ADR/SAE counts are available.</t>
  </si>
  <si>
    <t>LTBI treatment utility decrement</t>
  </si>
  <si>
    <t>QALY decrement</t>
  </si>
  <si>
    <t>Base case zero; sensitivity uses 0.0133.</t>
  </si>
  <si>
    <t>WTP threshold low</t>
  </si>
  <si>
    <t>AUD/QALY or AUD/DALY</t>
  </si>
  <si>
    <t>Low willingness-to-pay threshold.</t>
  </si>
  <si>
    <t>WTP threshold high</t>
  </si>
  <si>
    <t>High willingness-to-pay threshold.</t>
  </si>
  <si>
    <t>Strategy_Summary</t>
  </si>
  <si>
    <t>These values are imported APY model outputs. To change them, rerun the APY model and refresh this sheet.</t>
  </si>
  <si>
    <t>scenario_id</t>
  </si>
  <si>
    <t>screeningStrategy</t>
  </si>
  <si>
    <t>testType</t>
  </si>
  <si>
    <t>regimen</t>
  </si>
  <si>
    <t>N</t>
  </si>
  <si>
    <t>nReps</t>
  </si>
  <si>
    <t>screenCoverage</t>
  </si>
  <si>
    <t>screenWindow</t>
  </si>
  <si>
    <t>followHorizon</t>
  </si>
  <si>
    <t>nScreened_median</t>
  </si>
  <si>
    <t>nTotalCoursesStarted_median</t>
  </si>
  <si>
    <t>nTotalCoursesCompleted_median</t>
  </si>
  <si>
    <t>nFalsePositiveTreated_median</t>
  </si>
  <si>
    <t>nCuredInfection_median</t>
  </si>
  <si>
    <t>nPreventedActiveTB_median</t>
  </si>
  <si>
    <t>nActiveBy20y_DoNothing_median</t>
  </si>
  <si>
    <t>nActiveBy20y_AfterStrategy_median</t>
  </si>
  <si>
    <t>relativeReduction20y_median</t>
  </si>
  <si>
    <t>testingCost</t>
  </si>
  <si>
    <t>treatmentCost</t>
  </si>
  <si>
    <t>tbDiseaseCostsAverted</t>
  </si>
  <si>
    <t>totalProgramCost</t>
  </si>
  <si>
    <t>netCostVsBaseline</t>
  </si>
  <si>
    <t>tbCasesPrevented</t>
  </si>
  <si>
    <t>tbDeathsPrevented</t>
  </si>
  <si>
    <t>yldAverted</t>
  </si>
  <si>
    <t>yllAverted</t>
  </si>
  <si>
    <t>dalysAverted</t>
  </si>
  <si>
    <t>qalysGained</t>
  </si>
  <si>
    <t>costPerTBCasePrevented</t>
  </si>
  <si>
    <t>costPerDALYAverted</t>
  </si>
  <si>
    <t>costPerQALYGained</t>
  </si>
  <si>
    <t>nmbDALY_45000</t>
  </si>
  <si>
    <t>nmbDALY_75000</t>
  </si>
  <si>
    <t>nmbQALY_45000</t>
  </si>
  <si>
    <t>nmbQALY_75000</t>
  </si>
  <si>
    <t>dominance_status</t>
  </si>
  <si>
    <t>notes</t>
  </si>
  <si>
    <t>apy_paper_random_igra_3hp</t>
  </si>
  <si>
    <t>random</t>
  </si>
  <si>
    <t>IGRA</t>
  </si>
  <si>
    <t>3HP</t>
  </si>
  <si>
    <t>dominant_cost_saving</t>
  </si>
  <si>
    <t>Direct person-level prevented cases; no downstream transmission effects.</t>
  </si>
  <si>
    <t>apy_paper_ltbi_igra_3hp</t>
  </si>
  <si>
    <t>ltbi</t>
  </si>
  <si>
    <t>apy_paper_cure_igra_3hp</t>
  </si>
  <si>
    <t>cure</t>
  </si>
  <si>
    <t>apy_paper_prevent_igra_3hp</t>
  </si>
  <si>
    <t>prevent</t>
  </si>
  <si>
    <t>Health_Outcomes</t>
  </si>
  <si>
    <t>section</t>
  </si>
  <si>
    <t>metric</t>
  </si>
  <si>
    <t>value</t>
  </si>
  <si>
    <t>health</t>
  </si>
  <si>
    <t>qalyLossActiveTBAverted</t>
  </si>
  <si>
    <t>qalyLossTreatment</t>
  </si>
  <si>
    <t>qalyLossSAE</t>
  </si>
  <si>
    <t>Costs</t>
  </si>
  <si>
    <t>costs</t>
  </si>
  <si>
    <t>falsePositiveIncrementalCost</t>
  </si>
  <si>
    <t>programSetupCost</t>
  </si>
  <si>
    <t>programRunningCost</t>
  </si>
  <si>
    <t>baselineTBDiseaseCost</t>
  </si>
  <si>
    <t>interventionTBDiseaseCost</t>
  </si>
  <si>
    <t>Sensitivity</t>
  </si>
  <si>
    <t>sensitivity</t>
  </si>
  <si>
    <t>no_ltbi_treatment_utility_decrement</t>
  </si>
  <si>
    <t>Sensitivity assumption; not a final policy setting.</t>
  </si>
  <si>
    <t>ltbi_treatment_decrement_0_0133</t>
  </si>
  <si>
    <t>yld_only_no_yll</t>
  </si>
  <si>
    <t>conservative_yll_10</t>
  </si>
  <si>
    <t>higher_yll_30</t>
  </si>
  <si>
    <t>lower_tb_case_fatality</t>
  </si>
  <si>
    <t>higher_tb_case_fatality</t>
  </si>
  <si>
    <t>Strategy</t>
  </si>
  <si>
    <t>nScreened</t>
  </si>
  <si>
    <t>nTotalCoursesStarted</t>
  </si>
  <si>
    <t>nTotalCoursesCompleted</t>
  </si>
  <si>
    <t>nFalsePositiveTreated</t>
  </si>
  <si>
    <t>nCuredInfection</t>
  </si>
  <si>
    <t>nPreventedActiveTB</t>
  </si>
  <si>
    <t>nActiveBy20y_DoNothing</t>
  </si>
  <si>
    <t>nActiveBy20y_AfterStrategy</t>
  </si>
  <si>
    <t>relativeReduction20y</t>
  </si>
  <si>
    <t>programmeSetupCost</t>
  </si>
  <si>
    <t>programmeRunningCost</t>
  </si>
  <si>
    <t>returnForResultsCost</t>
  </si>
  <si>
    <t>clinicReviewCost</t>
  </si>
  <si>
    <t>activeTBExclusionCost</t>
  </si>
  <si>
    <t>travelOutreachSupportCost</t>
  </si>
  <si>
    <t>costPerPersonScreened</t>
  </si>
  <si>
    <t>costPerTPTCourseStarted</t>
  </si>
  <si>
    <t>costPerTPTCourseCompleted</t>
  </si>
  <si>
    <t>costPerInfectionCured</t>
  </si>
  <si>
    <t>morbidityOnlyQALYsGained</t>
  </si>
  <si>
    <t>treatmentDecrementQALYLoss</t>
  </si>
  <si>
    <t>saeQALYLoss</t>
  </si>
  <si>
    <t>breakEvenTBCasesPrevented</t>
  </si>
  <si>
    <t>additionalCostMarginBeforeNotCostSaving</t>
  </si>
  <si>
    <t>additionalCostPerScreenedBeforeNotCostSaving</t>
  </si>
  <si>
    <t>additionalCostPerTPTStartBeforeNotCostSaving</t>
  </si>
  <si>
    <t>Random</t>
  </si>
  <si>
    <t>LTBI-targeted</t>
  </si>
  <si>
    <t>Cure-targeted</t>
  </si>
  <si>
    <t>Prevention-targeted</t>
  </si>
  <si>
    <t>TB cases prevented</t>
  </si>
  <si>
    <t>Net cost vs baseline</t>
  </si>
  <si>
    <t>DALYs averted</t>
  </si>
  <si>
    <t>QALYs gained</t>
  </si>
  <si>
    <t>Cost per DALY averted</t>
  </si>
  <si>
    <t>Cost per QALY gained</t>
  </si>
  <si>
    <t>Cost per active TB case prevented</t>
  </si>
  <si>
    <t>NMB at AUD 45,000/QALY</t>
  </si>
  <si>
    <t>NMB at AUD 75,000/QALY</t>
  </si>
  <si>
    <t>Additional cost margin before not cost-saving</t>
  </si>
  <si>
    <t>Additional cost per screened person before not cost-saving</t>
  </si>
  <si>
    <t>Cases prevented</t>
  </si>
  <si>
    <t>TB disease cost averted</t>
  </si>
  <si>
    <t>Included programme cost</t>
  </si>
  <si>
    <t>Testing cost</t>
  </si>
  <si>
    <t>Treatment cost</t>
  </si>
  <si>
    <t>Programme setup/running cost</t>
  </si>
  <si>
    <t>False-positive incremental cost</t>
  </si>
  <si>
    <t>Break-even TB cases prevented</t>
  </si>
  <si>
    <t>Actual minus break-even cases</t>
  </si>
  <si>
    <t>Cost-saving yes/no</t>
  </si>
  <si>
    <t>Updates from Inputs_Assumptions; APY model outputs require rerun.</t>
  </si>
  <si>
    <t>Stage</t>
  </si>
  <si>
    <t>Branch</t>
  </si>
  <si>
    <t>Probability / rate</t>
  </si>
  <si>
    <t>Count</t>
  </si>
  <si>
    <t>Cost per person</t>
  </si>
  <si>
    <t>Total cost</t>
  </si>
  <si>
    <t>Utility / disability input</t>
  </si>
  <si>
    <t>Health outcome</t>
  </si>
  <si>
    <t>Eligible cohort</t>
  </si>
  <si>
    <t>All</t>
  </si>
  <si>
    <t>Imported model N.</t>
  </si>
  <si>
    <t>Screened</t>
  </si>
  <si>
    <t>Screened within window</t>
  </si>
  <si>
    <t>Model output count; cost formula-linked.</t>
  </si>
  <si>
    <t>TPT started</t>
  </si>
  <si>
    <t>Started preventive treatment</t>
  </si>
  <si>
    <t>LTBI treatment decrement</t>
  </si>
  <si>
    <t>TPT completed</t>
  </si>
  <si>
    <t>Completed course</t>
  </si>
  <si>
    <t>Model output count.</t>
  </si>
  <si>
    <t>False positive treated</t>
  </si>
  <si>
    <t>False-positive TPT</t>
  </si>
  <si>
    <t>False-positive incremental cost unresolved.</t>
  </si>
  <si>
    <t>Infection cured/protected</t>
  </si>
  <si>
    <t>Cured/protected</t>
  </si>
  <si>
    <t>Infections cured/protected</t>
  </si>
  <si>
    <t>Model output.</t>
  </si>
  <si>
    <t>Active TB case prevented</t>
  </si>
  <si>
    <t>Direct person-level case</t>
  </si>
  <si>
    <t>DW/CFR/YLL assumptions</t>
  </si>
  <si>
    <t>DALYs/QALYs</t>
  </si>
  <si>
    <t>No downstream transmission benefit included.</t>
  </si>
  <si>
    <t>DW, duration, CFR, YLL</t>
  </si>
  <si>
    <t>Formula-linked.</t>
  </si>
  <si>
    <t>Utility assumptions</t>
  </si>
  <si>
    <t>Net cost</t>
  </si>
  <si>
    <t>Economic outcome</t>
  </si>
  <si>
    <t>Negative means cost-saving.</t>
  </si>
  <si>
    <t>ICER per DALY</t>
  </si>
  <si>
    <t>ICER per QALY</t>
  </si>
  <si>
    <t>interpretation_changes</t>
  </si>
  <si>
    <t>Magnitude changes; generated outputs do not show reversal of preferred strategy.</t>
  </si>
  <si>
    <t>Additional cost per screened before not cost-saving</t>
  </si>
  <si>
    <t>Additional cost per TPT start before not cost-saving</t>
  </si>
  <si>
    <t>Editable native Excel charts. All chart values come from formula-linked Chart_Data ranges.</t>
  </si>
  <si>
    <t>Open in Excel and allow recalculation before copying charts into Word.</t>
  </si>
  <si>
    <t>Audit item</t>
  </si>
  <si>
    <t>Check / source</t>
  </si>
  <si>
    <t>Strategy_Summary key cells contain formulas</t>
  </si>
  <si>
    <t>Should be TRUE.</t>
  </si>
  <si>
    <t>Chart_Data key cells contain formulas</t>
  </si>
  <si>
    <t>Editable_Charts sheet contains charts</t>
  </si>
  <si>
    <t>6 charts expected</t>
  </si>
  <si>
    <t>Validated programmatically after save.</t>
  </si>
  <si>
    <t>No chart series names begin with =Chart_Data</t>
  </si>
  <si>
    <t>plain text series names for scatter charts</t>
  </si>
  <si>
    <t>Scatter legends use Random, LTBI-targeted, Cure-targeted, Prevention-targeted.</t>
  </si>
  <si>
    <t>Scatter chart x/y ranges</t>
  </si>
  <si>
    <t>DALYs/QALYs as x-values; net cost as y-values</t>
  </si>
  <si>
    <t>Cost-effectiveness plane charts use Chart_Data columns B/C and D.</t>
  </si>
  <si>
    <t>Scatter chart markers</t>
  </si>
  <si>
    <t>visible markers; no connecting lines requested</t>
  </si>
  <si>
    <t>One one-point marker series per strategy.</t>
  </si>
  <si>
    <t>Unresolved programme costs still zero</t>
  </si>
  <si>
    <t>Should be TRUE until local costs are supplied.</t>
  </si>
  <si>
    <t>Values requiring APY rerun</t>
  </si>
  <si>
    <t>model output counts and epidemiologic assumptions</t>
  </si>
  <si>
    <t>Changing screening strategy, prevalence, treatment pathway probabilities, or cases prevented requires rerunning APY and refreshing Model_Outputs.</t>
  </si>
  <si>
    <t>Values updating directly from Inputs_Assumptions</t>
  </si>
  <si>
    <t>costs; utilities; DALY/QALY assumptions; WTP thresholds</t>
  </si>
  <si>
    <t>These update Economic_Calculations, Strategy_Summary, Chart_Data, and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</si>
</sst>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per DALY averted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Chart_Data!$E$1</c:f>
              <c:strCache>
                <c:ptCount val="1"/>
                <c:pt idx="0">
                  <c:v>Cost per DALY averted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Chart_Data!$E$2:$E$5</c:f>
              <c:numCache>
                <c:formatCode>General</c:formatCode>
                <c:ptCount val="4"/>
                <c:pt idx="0">
                  <c:v>148807.14096568478</c:v>
                </c:pt>
                <c:pt idx="1">
                  <c:v>47057.360373243529</c:v>
                </c:pt>
                <c:pt idx="2">
                  <c:v>47057.360373243529</c:v>
                </c:pt>
                <c:pt idx="3">
                  <c:v>42128.365543071166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0-49A7-8DFF-D8C082FBB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AUD per DALY; negative indicates cost-saving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per QALY gained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Cost per QALY gained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Chart_Data!$F$2:$F$5</c:f>
              <c:numCache>
                <c:formatCode>General</c:formatCode>
                <c:ptCount val="4"/>
                <c:pt idx="0">
                  <c:v>8893319.6950998306</c:v>
                </c:pt>
                <c:pt idx="1">
                  <c:v>2812339.1598746125</c:v>
                </c:pt>
                <c:pt idx="2">
                  <c:v>2812339.1598746125</c:v>
                </c:pt>
                <c:pt idx="3">
                  <c:v>2517762.3908046014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6-4CB3-B1AB-0B8770E7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AUD per QALY; negative indicates cost-saving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versus DALYs averted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numRef>
              <c:f>Chart_Data!$B$2</c:f>
              <c:numCache>
                <c:formatCode>General</c:formatCode>
                <c:ptCount val="1"/>
                <c:pt idx="0">
                  <c:v>6.5860000000000003</c:v>
                </c:pt>
              </c:numCache>
            </c:numRef>
          </c:xVal>
          <c:yVal>
            <c:numRef>
              <c:f>Chart_Data!$D$2</c:f>
              <c:numCache>
                <c:formatCode>General</c:formatCode>
                <c:ptCount val="1"/>
                <c:pt idx="0">
                  <c:v>980043.83039999998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C-44FC-B31A-2E47E7C582BF}"/>
            </c:ext>
          </c:extLst>
        </c:ser>
        <c:ser>
          <c:idx val="1"/>
          <c:order val="1"/>
          <c:tx>
            <c:v>LTBI-targeted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numRef>
              <c:f>Chart_Data!$B$3</c:f>
              <c:numCache>
                <c:formatCode>General</c:formatCode>
                <c:ptCount val="1"/>
                <c:pt idx="0">
                  <c:v>18.111499999999999</c:v>
                </c:pt>
              </c:numCache>
            </c:numRef>
          </c:xVal>
          <c:yVal>
            <c:numRef>
              <c:f>Chart_Data!$D$3</c:f>
              <c:numCache>
                <c:formatCode>General</c:formatCode>
                <c:ptCount val="1"/>
                <c:pt idx="0">
                  <c:v>852279.38240000012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AC-44FC-B31A-2E47E7C582BF}"/>
            </c:ext>
          </c:extLst>
        </c:ser>
        <c:ser>
          <c:idx val="2"/>
          <c:order val="2"/>
          <c:tx>
            <c:v>Cure-targeted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xVal>
            <c:numRef>
              <c:f>Chart_Data!$B$4</c:f>
              <c:numCache>
                <c:formatCode>General</c:formatCode>
                <c:ptCount val="1"/>
                <c:pt idx="0">
                  <c:v>18.111499999999999</c:v>
                </c:pt>
              </c:numCache>
            </c:numRef>
          </c:xVal>
          <c:yVal>
            <c:numRef>
              <c:f>Chart_Data!$D$4</c:f>
              <c:numCache>
                <c:formatCode>General</c:formatCode>
                <c:ptCount val="1"/>
                <c:pt idx="0">
                  <c:v>852279.38240000012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AC-44FC-B31A-2E47E7C582BF}"/>
            </c:ext>
          </c:extLst>
        </c:ser>
        <c:ser>
          <c:idx val="3"/>
          <c:order val="3"/>
          <c:tx>
            <c:v>Prevention-targeted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Chart_Data!$B$5</c:f>
              <c:numCache>
                <c:formatCode>General</c:formatCode>
                <c:ptCount val="1"/>
                <c:pt idx="0">
                  <c:v>19.757999999999999</c:v>
                </c:pt>
              </c:numCache>
            </c:numRef>
          </c:xVal>
          <c:yVal>
            <c:numRef>
              <c:f>Chart_Data!$D$5</c:f>
              <c:numCache>
                <c:formatCode>General</c:formatCode>
                <c:ptCount val="1"/>
                <c:pt idx="0">
                  <c:v>832372.24640000006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AC-44FC-B31A-2E47E7C58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DALYs averted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Net cost vs baseline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versus QALYs gained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numRef>
              <c:f>Chart_Data!$C$2</c:f>
              <c:numCache>
                <c:formatCode>General</c:formatCode>
                <c:ptCount val="1"/>
                <c:pt idx="0">
                  <c:v>0.11019999999999985</c:v>
                </c:pt>
              </c:numCache>
            </c:numRef>
          </c:xVal>
          <c:yVal>
            <c:numRef>
              <c:f>Chart_Data!$D$2</c:f>
              <c:numCache>
                <c:formatCode>General</c:formatCode>
                <c:ptCount val="1"/>
                <c:pt idx="0">
                  <c:v>980043.83039999998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9-4D49-987C-28DC0AAEC791}"/>
            </c:ext>
          </c:extLst>
        </c:ser>
        <c:ser>
          <c:idx val="1"/>
          <c:order val="1"/>
          <c:tx>
            <c:v>LTBI-targeted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numRef>
              <c:f>Chart_Data!$C$3</c:f>
              <c:numCache>
                <c:formatCode>General</c:formatCode>
                <c:ptCount val="1"/>
                <c:pt idx="0">
                  <c:v>0.3030499999999996</c:v>
                </c:pt>
              </c:numCache>
            </c:numRef>
          </c:xVal>
          <c:yVal>
            <c:numRef>
              <c:f>Chart_Data!$D$3</c:f>
              <c:numCache>
                <c:formatCode>General</c:formatCode>
                <c:ptCount val="1"/>
                <c:pt idx="0">
                  <c:v>852279.38240000012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79-4D49-987C-28DC0AAEC791}"/>
            </c:ext>
          </c:extLst>
        </c:ser>
        <c:ser>
          <c:idx val="2"/>
          <c:order val="2"/>
          <c:tx>
            <c:v>Cure-targeted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xVal>
            <c:numRef>
              <c:f>Chart_Data!$C$4</c:f>
              <c:numCache>
                <c:formatCode>General</c:formatCode>
                <c:ptCount val="1"/>
                <c:pt idx="0">
                  <c:v>0.3030499999999996</c:v>
                </c:pt>
              </c:numCache>
            </c:numRef>
          </c:xVal>
          <c:yVal>
            <c:numRef>
              <c:f>Chart_Data!$D$4</c:f>
              <c:numCache>
                <c:formatCode>General</c:formatCode>
                <c:ptCount val="1"/>
                <c:pt idx="0">
                  <c:v>852279.38240000012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79-4D49-987C-28DC0AAEC791}"/>
            </c:ext>
          </c:extLst>
        </c:ser>
        <c:ser>
          <c:idx val="3"/>
          <c:order val="3"/>
          <c:tx>
            <c:v>Prevention-targeted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Chart_Data!$C$5</c:f>
              <c:numCache>
                <c:formatCode>General</c:formatCode>
                <c:ptCount val="1"/>
                <c:pt idx="0">
                  <c:v>0.33059999999999956</c:v>
                </c:pt>
              </c:numCache>
            </c:numRef>
          </c:xVal>
          <c:yVal>
            <c:numRef>
              <c:f>Chart_Data!$D$5</c:f>
              <c:numCache>
                <c:formatCode>General</c:formatCode>
                <c:ptCount val="1"/>
                <c:pt idx="0">
                  <c:v>832372.24640000006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79-4D49-987C-28DC0AAEC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4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QALYs gained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0"/>
          <c:min val="-1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Net cost vs baseline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Active TB cases prevented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Chart_Data!$G$1</c:f>
              <c:strCache>
                <c:ptCount val="1"/>
                <c:pt idx="0">
                  <c:v>TB cases prevented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Chart_Data!$G$2:$G$5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0-450C-8E94-CD6DE6F94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Cases prevented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Break-even cost-saving margin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Chart_Data!$H$1</c:f>
              <c:strCache>
                <c:ptCount val="1"/>
                <c:pt idx="0">
                  <c:v>Additional cost margin before not cost-saving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Chart_Data!$H$2:$H$5</c:f>
              <c:numCache>
                <c:formatCode>General</c:formatCode>
                <c:ptCount val="4"/>
                <c:pt idx="0">
                  <c:v>55.366057485481882</c:v>
                </c:pt>
                <c:pt idx="1">
                  <c:v>55.669667204763215</c:v>
                </c:pt>
                <c:pt idx="2">
                  <c:v>55.669667204763215</c:v>
                </c:pt>
                <c:pt idx="3">
                  <c:v>55.626294387723021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3-46D2-BE22-DFE676D3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Additional cost margin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1" width="39" customWidth="1"/>
    <col min="2" max="2" width="44" customWidth="1"/>
  </cols>
  <sheetData>
    <row r="1" spans="1:2" x14ac:dyDescent="0.35">
      <c r="A1" s="1" t="s">
        <v>0</v>
      </c>
      <c r="B1" s="1" t="s">
        <v>1</v>
      </c>
    </row>
    <row r="2" spans="1:2" ht="58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ht="43.5" x14ac:dyDescent="0.35">
      <c r="A5" s="1" t="s">
        <v>8</v>
      </c>
      <c r="B5" s="1" t="s">
        <v>9</v>
      </c>
    </row>
    <row r="6" spans="1:2" ht="43.5" x14ac:dyDescent="0.35">
      <c r="A6" s="1" t="s">
        <v>10</v>
      </c>
      <c r="B6" s="1" t="s">
        <v>11</v>
      </c>
    </row>
    <row r="7" spans="1:2" ht="72.5" x14ac:dyDescent="0.35">
      <c r="A7" s="1" t="s">
        <v>12</v>
      </c>
      <c r="B7" s="1" t="s">
        <v>13</v>
      </c>
    </row>
    <row r="8" spans="1:2" ht="43.5" x14ac:dyDescent="0.35">
      <c r="A8" s="1" t="s">
        <v>14</v>
      </c>
      <c r="B8" s="1" t="s">
        <v>15</v>
      </c>
    </row>
    <row r="9" spans="1:2" ht="29" x14ac:dyDescent="0.35">
      <c r="A9" s="1" t="s">
        <v>16</v>
      </c>
      <c r="B9" s="1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14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opLeftCell="AO1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44" customWidth="1"/>
    <col min="2" max="3" width="22" customWidth="1"/>
    <col min="4" max="4" width="14" customWidth="1"/>
    <col min="5" max="5" width="44" customWidth="1"/>
  </cols>
  <sheetData>
    <row r="1" spans="1:5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5">
      <c r="A2" s="1" t="s">
        <v>26</v>
      </c>
      <c r="B2" s="1">
        <v>113.48</v>
      </c>
      <c r="C2" s="1" t="s">
        <v>27</v>
      </c>
      <c r="D2" s="1" t="s">
        <v>28</v>
      </c>
      <c r="E2" s="1" t="s">
        <v>29</v>
      </c>
    </row>
    <row r="3" spans="1:5" x14ac:dyDescent="0.35">
      <c r="A3" s="1" t="s">
        <v>30</v>
      </c>
      <c r="B3" s="1">
        <v>116.07</v>
      </c>
      <c r="C3" s="1" t="s">
        <v>27</v>
      </c>
      <c r="D3" s="1" t="s">
        <v>28</v>
      </c>
      <c r="E3" s="1" t="s">
        <v>31</v>
      </c>
    </row>
    <row r="4" spans="1:5" x14ac:dyDescent="0.35">
      <c r="A4" s="1" t="s">
        <v>32</v>
      </c>
      <c r="B4" s="1">
        <v>165.50720000000001</v>
      </c>
      <c r="C4" s="1" t="s">
        <v>27</v>
      </c>
      <c r="D4" s="1" t="s">
        <v>28</v>
      </c>
      <c r="E4" s="1" t="s">
        <v>33</v>
      </c>
    </row>
    <row r="5" spans="1:5" x14ac:dyDescent="0.35">
      <c r="A5" s="1" t="s">
        <v>34</v>
      </c>
      <c r="B5" s="1">
        <v>123.3172</v>
      </c>
      <c r="C5" s="1" t="s">
        <v>27</v>
      </c>
      <c r="D5" s="1" t="s">
        <v>28</v>
      </c>
      <c r="E5" s="1" t="s">
        <v>33</v>
      </c>
    </row>
    <row r="6" spans="1:5" x14ac:dyDescent="0.35">
      <c r="A6" s="1" t="s">
        <v>35</v>
      </c>
      <c r="B6" s="1">
        <v>19079.599999999999</v>
      </c>
      <c r="C6" s="1" t="s">
        <v>27</v>
      </c>
      <c r="D6" s="1" t="s">
        <v>28</v>
      </c>
      <c r="E6" s="1" t="s">
        <v>36</v>
      </c>
    </row>
    <row r="7" spans="1:5" ht="29" x14ac:dyDescent="0.35">
      <c r="A7" s="3" t="s">
        <v>37</v>
      </c>
      <c r="B7" s="3">
        <v>1000000</v>
      </c>
      <c r="C7" s="3" t="s">
        <v>38</v>
      </c>
      <c r="D7" s="3" t="s">
        <v>39</v>
      </c>
      <c r="E7" s="3" t="s">
        <v>40</v>
      </c>
    </row>
    <row r="8" spans="1:5" ht="29" x14ac:dyDescent="0.35">
      <c r="A8" s="3" t="s">
        <v>41</v>
      </c>
      <c r="B8" s="3">
        <v>0</v>
      </c>
      <c r="C8" s="3" t="s">
        <v>38</v>
      </c>
      <c r="D8" s="3" t="s">
        <v>39</v>
      </c>
      <c r="E8" s="3" t="s">
        <v>40</v>
      </c>
    </row>
    <row r="9" spans="1:5" ht="29" x14ac:dyDescent="0.35">
      <c r="A9" s="3" t="s">
        <v>42</v>
      </c>
      <c r="B9" s="3">
        <v>0</v>
      </c>
      <c r="C9" s="3" t="s">
        <v>43</v>
      </c>
      <c r="D9" s="3" t="s">
        <v>39</v>
      </c>
      <c r="E9" s="3" t="s">
        <v>44</v>
      </c>
    </row>
    <row r="10" spans="1:5" x14ac:dyDescent="0.35">
      <c r="A10" s="3" t="s">
        <v>45</v>
      </c>
      <c r="B10" s="3">
        <v>0</v>
      </c>
      <c r="C10" s="3" t="s">
        <v>46</v>
      </c>
      <c r="D10" s="3" t="s">
        <v>39</v>
      </c>
      <c r="E10" s="3" t="s">
        <v>47</v>
      </c>
    </row>
    <row r="11" spans="1:5" ht="29" x14ac:dyDescent="0.35">
      <c r="A11" s="3" t="s">
        <v>48</v>
      </c>
      <c r="B11" s="3">
        <v>0</v>
      </c>
      <c r="C11" s="3" t="s">
        <v>49</v>
      </c>
      <c r="D11" s="3" t="s">
        <v>39</v>
      </c>
      <c r="E11" s="3" t="s">
        <v>50</v>
      </c>
    </row>
    <row r="12" spans="1:5" x14ac:dyDescent="0.35">
      <c r="A12" s="3" t="s">
        <v>51</v>
      </c>
      <c r="B12" s="3">
        <v>0</v>
      </c>
      <c r="C12" s="3" t="s">
        <v>49</v>
      </c>
      <c r="D12" s="3" t="s">
        <v>39</v>
      </c>
      <c r="E12" s="3" t="s">
        <v>52</v>
      </c>
    </row>
    <row r="13" spans="1:5" ht="29" x14ac:dyDescent="0.35">
      <c r="A13" s="3" t="s">
        <v>53</v>
      </c>
      <c r="B13" s="3">
        <v>0</v>
      </c>
      <c r="C13" s="3" t="s">
        <v>46</v>
      </c>
      <c r="D13" s="3" t="s">
        <v>39</v>
      </c>
      <c r="E13" s="3" t="s">
        <v>54</v>
      </c>
    </row>
    <row r="14" spans="1:5" x14ac:dyDescent="0.35">
      <c r="A14" s="1" t="s">
        <v>55</v>
      </c>
      <c r="B14" s="1">
        <v>0.33300000000000002</v>
      </c>
      <c r="C14" s="1" t="s">
        <v>56</v>
      </c>
      <c r="D14" s="1" t="s">
        <v>28</v>
      </c>
      <c r="E14" s="1" t="s">
        <v>57</v>
      </c>
    </row>
    <row r="15" spans="1:5" x14ac:dyDescent="0.35">
      <c r="A15" s="1" t="s">
        <v>58</v>
      </c>
      <c r="B15" s="1">
        <v>0.5</v>
      </c>
      <c r="C15" s="1" t="s">
        <v>59</v>
      </c>
      <c r="D15" s="1" t="s">
        <v>28</v>
      </c>
      <c r="E15" s="1" t="s">
        <v>60</v>
      </c>
    </row>
    <row r="16" spans="1:5" x14ac:dyDescent="0.35">
      <c r="A16" s="3" t="s">
        <v>61</v>
      </c>
      <c r="B16" s="3">
        <v>7.3999999999999996E-2</v>
      </c>
      <c r="C16" s="3" t="s">
        <v>62</v>
      </c>
      <c r="D16" s="3" t="s">
        <v>39</v>
      </c>
      <c r="E16" s="3" t="s">
        <v>63</v>
      </c>
    </row>
    <row r="17" spans="1:5" x14ac:dyDescent="0.35">
      <c r="A17" s="3" t="s">
        <v>64</v>
      </c>
      <c r="B17" s="3">
        <v>20</v>
      </c>
      <c r="C17" s="3" t="s">
        <v>59</v>
      </c>
      <c r="D17" s="3" t="s">
        <v>39</v>
      </c>
      <c r="E17" s="3" t="s">
        <v>63</v>
      </c>
    </row>
    <row r="18" spans="1:5" x14ac:dyDescent="0.35">
      <c r="A18" s="1" t="s">
        <v>65</v>
      </c>
      <c r="B18" s="1">
        <v>0.87329999999999997</v>
      </c>
      <c r="C18" s="1" t="s">
        <v>66</v>
      </c>
      <c r="D18" s="1" t="s">
        <v>28</v>
      </c>
      <c r="E18" s="1" t="s">
        <v>67</v>
      </c>
    </row>
    <row r="19" spans="1:5" x14ac:dyDescent="0.35">
      <c r="A19" s="1" t="s">
        <v>68</v>
      </c>
      <c r="B19" s="1">
        <v>0.81820000000000004</v>
      </c>
      <c r="C19" s="1" t="s">
        <v>66</v>
      </c>
      <c r="D19" s="1" t="s">
        <v>28</v>
      </c>
      <c r="E19" s="1" t="s">
        <v>69</v>
      </c>
    </row>
    <row r="20" spans="1:5" ht="29" x14ac:dyDescent="0.35">
      <c r="A20" s="1" t="s">
        <v>70</v>
      </c>
      <c r="B20" s="1">
        <v>0.86850000000000005</v>
      </c>
      <c r="C20" s="1" t="s">
        <v>66</v>
      </c>
      <c r="D20" s="1" t="s">
        <v>28</v>
      </c>
      <c r="E20" s="1" t="s">
        <v>71</v>
      </c>
    </row>
    <row r="21" spans="1:5" ht="29" x14ac:dyDescent="0.35">
      <c r="A21" s="1" t="s">
        <v>72</v>
      </c>
      <c r="B21" s="1">
        <v>1.9178082191780819E-2</v>
      </c>
      <c r="C21" s="1" t="s">
        <v>59</v>
      </c>
      <c r="D21" s="1" t="s">
        <v>28</v>
      </c>
      <c r="E21" s="1" t="s">
        <v>73</v>
      </c>
    </row>
    <row r="22" spans="1:5" x14ac:dyDescent="0.35">
      <c r="A22" s="3" t="s">
        <v>74</v>
      </c>
      <c r="B22" s="3">
        <v>0</v>
      </c>
      <c r="C22" s="3" t="s">
        <v>75</v>
      </c>
      <c r="D22" s="3" t="s">
        <v>39</v>
      </c>
      <c r="E22" s="3" t="s">
        <v>76</v>
      </c>
    </row>
    <row r="23" spans="1:5" x14ac:dyDescent="0.35">
      <c r="A23" s="1" t="s">
        <v>77</v>
      </c>
      <c r="B23" s="1">
        <v>45000</v>
      </c>
      <c r="C23" s="1" t="s">
        <v>78</v>
      </c>
      <c r="D23" s="1" t="s">
        <v>28</v>
      </c>
      <c r="E23" s="1" t="s">
        <v>79</v>
      </c>
    </row>
    <row r="24" spans="1:5" x14ac:dyDescent="0.35">
      <c r="A24" s="1" t="s">
        <v>80</v>
      </c>
      <c r="B24" s="1">
        <v>75000</v>
      </c>
      <c r="C24" s="1" t="s">
        <v>78</v>
      </c>
      <c r="D24" s="1" t="s">
        <v>28</v>
      </c>
      <c r="E24" s="1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44" customWidth="1"/>
    <col min="3" max="3" width="14" customWidth="1"/>
    <col min="4" max="4" width="30" customWidth="1"/>
    <col min="5" max="5" width="24" customWidth="1"/>
    <col min="6" max="6" width="14" customWidth="1"/>
    <col min="7" max="7" width="16" customWidth="1"/>
    <col min="8" max="8" width="14" customWidth="1"/>
    <col min="9" max="9" width="15" customWidth="1"/>
    <col min="10" max="10" width="18" customWidth="1"/>
    <col min="11" max="11" width="29" customWidth="1"/>
    <col min="12" max="12" width="31" customWidth="1"/>
    <col min="13" max="13" width="30" customWidth="1"/>
    <col min="14" max="14" width="24" customWidth="1"/>
    <col min="15" max="15" width="27" customWidth="1"/>
    <col min="16" max="16" width="31" customWidth="1"/>
    <col min="17" max="17" width="35" customWidth="1"/>
    <col min="18" max="18" width="29" customWidth="1"/>
    <col min="19" max="19" width="14" customWidth="1"/>
    <col min="20" max="20" width="15" customWidth="1"/>
    <col min="21" max="21" width="23" customWidth="1"/>
    <col min="22" max="22" width="18" customWidth="1"/>
    <col min="23" max="23" width="21" customWidth="1"/>
    <col min="24" max="24" width="18" customWidth="1"/>
    <col min="25" max="27" width="20" customWidth="1"/>
    <col min="28" max="28" width="14" customWidth="1"/>
    <col min="29" max="29" width="21" customWidth="1"/>
    <col min="30" max="30" width="24" customWidth="1"/>
    <col min="31" max="31" width="20" customWidth="1"/>
    <col min="32" max="32" width="21" customWidth="1"/>
    <col min="33" max="34" width="15" customWidth="1"/>
    <col min="35" max="36" width="20" customWidth="1"/>
    <col min="37" max="37" width="22" customWidth="1"/>
    <col min="38" max="38" width="44" customWidth="1"/>
  </cols>
  <sheetData>
    <row r="1" spans="1:38" ht="43.5" x14ac:dyDescent="0.35">
      <c r="A1" s="4" t="s">
        <v>82</v>
      </c>
      <c r="B1" s="1" t="s">
        <v>83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5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  <c r="Q2" s="2" t="s">
        <v>100</v>
      </c>
      <c r="R2" s="2" t="s">
        <v>101</v>
      </c>
      <c r="S2" s="2" t="s">
        <v>102</v>
      </c>
      <c r="T2" s="2" t="s">
        <v>103</v>
      </c>
      <c r="U2" s="2" t="s">
        <v>104</v>
      </c>
      <c r="V2" s="2" t="s">
        <v>105</v>
      </c>
      <c r="W2" s="2" t="s">
        <v>106</v>
      </c>
      <c r="X2" s="2" t="s">
        <v>107</v>
      </c>
      <c r="Y2" s="2" t="s">
        <v>108</v>
      </c>
      <c r="Z2" s="2" t="s">
        <v>109</v>
      </c>
      <c r="AA2" s="2" t="s">
        <v>110</v>
      </c>
      <c r="AB2" s="2" t="s">
        <v>111</v>
      </c>
      <c r="AC2" s="2" t="s">
        <v>112</v>
      </c>
      <c r="AD2" s="2" t="s">
        <v>113</v>
      </c>
      <c r="AE2" s="2" t="s">
        <v>114</v>
      </c>
      <c r="AF2" s="2" t="s">
        <v>115</v>
      </c>
      <c r="AG2" s="2" t="s">
        <v>116</v>
      </c>
      <c r="AH2" s="2" t="s">
        <v>117</v>
      </c>
      <c r="AI2" s="2" t="s">
        <v>118</v>
      </c>
      <c r="AJ2" s="2" t="s">
        <v>119</v>
      </c>
      <c r="AK2" s="2" t="s">
        <v>120</v>
      </c>
      <c r="AL2" s="2" t="s">
        <v>121</v>
      </c>
    </row>
    <row r="3" spans="1:38" ht="29" x14ac:dyDescent="0.35">
      <c r="A3" s="1" t="s">
        <v>122</v>
      </c>
      <c r="B3" s="1" t="s">
        <v>123</v>
      </c>
      <c r="C3" s="1" t="s">
        <v>124</v>
      </c>
      <c r="D3" s="1" t="s">
        <v>125</v>
      </c>
      <c r="E3" s="1">
        <v>1500</v>
      </c>
      <c r="F3" s="1">
        <v>2000</v>
      </c>
      <c r="G3" s="1">
        <v>0.3</v>
      </c>
      <c r="H3" s="1">
        <v>2</v>
      </c>
      <c r="I3" s="1">
        <v>20</v>
      </c>
      <c r="J3" s="1">
        <v>450</v>
      </c>
      <c r="K3" s="1">
        <v>32</v>
      </c>
      <c r="L3" s="1">
        <v>25</v>
      </c>
      <c r="M3" s="1">
        <v>7</v>
      </c>
      <c r="N3" s="1">
        <v>16</v>
      </c>
      <c r="O3" s="1">
        <v>4</v>
      </c>
      <c r="P3" s="1">
        <v>37</v>
      </c>
      <c r="Q3" s="1">
        <v>33</v>
      </c>
      <c r="R3" s="1">
        <v>0.10526315789473679</v>
      </c>
      <c r="S3" s="1">
        <v>51066</v>
      </c>
      <c r="T3" s="1">
        <v>5296.2304000000004</v>
      </c>
      <c r="U3" s="1">
        <v>76318.399999999994</v>
      </c>
      <c r="V3" s="1">
        <v>56362.2304</v>
      </c>
      <c r="W3" s="1">
        <v>-19956.16959999999</v>
      </c>
      <c r="X3" s="1">
        <v>4</v>
      </c>
      <c r="Y3" s="1">
        <v>0.29599999999999999</v>
      </c>
      <c r="Z3" s="1">
        <v>0.66600000000000004</v>
      </c>
      <c r="AA3" s="1">
        <v>5.92</v>
      </c>
      <c r="AB3" s="1">
        <v>6.5860000000000003</v>
      </c>
      <c r="AC3" s="1">
        <v>0.1101079452054793</v>
      </c>
      <c r="AD3" s="1">
        <v>-4989.0423999999985</v>
      </c>
      <c r="AE3" s="1">
        <v>-3030.089523231095</v>
      </c>
      <c r="AF3" s="1">
        <v>-181241.8673580598</v>
      </c>
      <c r="AG3" s="1">
        <v>316326.16960000002</v>
      </c>
      <c r="AH3" s="1">
        <v>513906.16960000002</v>
      </c>
      <c r="AI3" s="1">
        <v>24911.02713424656</v>
      </c>
      <c r="AJ3" s="1">
        <v>28214.26549041094</v>
      </c>
      <c r="AK3" s="1" t="s">
        <v>126</v>
      </c>
      <c r="AL3" s="1" t="s">
        <v>127</v>
      </c>
    </row>
    <row r="4" spans="1:38" ht="29" x14ac:dyDescent="0.35">
      <c r="A4" s="1" t="s">
        <v>128</v>
      </c>
      <c r="B4" s="1" t="s">
        <v>129</v>
      </c>
      <c r="C4" s="1" t="s">
        <v>124</v>
      </c>
      <c r="D4" s="1" t="s">
        <v>125</v>
      </c>
      <c r="E4" s="1">
        <v>1500</v>
      </c>
      <c r="F4" s="1">
        <v>2000</v>
      </c>
      <c r="G4" s="1">
        <v>0.3</v>
      </c>
      <c r="H4" s="1">
        <v>2</v>
      </c>
      <c r="I4" s="1">
        <v>20</v>
      </c>
      <c r="J4" s="1">
        <v>450</v>
      </c>
      <c r="K4" s="1">
        <v>67</v>
      </c>
      <c r="L4" s="1">
        <v>54</v>
      </c>
      <c r="M4" s="1">
        <v>6</v>
      </c>
      <c r="N4" s="1">
        <v>40</v>
      </c>
      <c r="O4" s="1">
        <v>11</v>
      </c>
      <c r="P4" s="1">
        <v>37</v>
      </c>
      <c r="Q4" s="1">
        <v>26</v>
      </c>
      <c r="R4" s="1">
        <v>0.30434782608695649</v>
      </c>
      <c r="S4" s="1">
        <v>51066</v>
      </c>
      <c r="T4" s="1">
        <v>11088.982400000001</v>
      </c>
      <c r="U4" s="1">
        <v>209875.6</v>
      </c>
      <c r="V4" s="1">
        <v>62154.982400000001</v>
      </c>
      <c r="W4" s="1">
        <v>-147720.6176</v>
      </c>
      <c r="X4" s="1">
        <v>11</v>
      </c>
      <c r="Y4" s="1">
        <v>0.81399999999999995</v>
      </c>
      <c r="Z4" s="1">
        <v>1.8314999999999999</v>
      </c>
      <c r="AA4" s="1">
        <v>16.28</v>
      </c>
      <c r="AB4" s="1">
        <v>18.111499999999999</v>
      </c>
      <c r="AC4" s="1">
        <v>0.30277383561643789</v>
      </c>
      <c r="AD4" s="1">
        <v>-13429.14705454545</v>
      </c>
      <c r="AE4" s="1">
        <v>-8156.1779863622542</v>
      </c>
      <c r="AF4" s="1">
        <v>-487890.96091888339</v>
      </c>
      <c r="AG4" s="1">
        <v>962738.1176</v>
      </c>
      <c r="AH4" s="1">
        <v>1506083.1176</v>
      </c>
      <c r="AI4" s="1">
        <v>161345.4402027397</v>
      </c>
      <c r="AJ4" s="1">
        <v>170428.6552712328</v>
      </c>
      <c r="AK4" s="1" t="s">
        <v>126</v>
      </c>
      <c r="AL4" s="1" t="s">
        <v>127</v>
      </c>
    </row>
    <row r="5" spans="1:38" ht="29" x14ac:dyDescent="0.35">
      <c r="A5" s="1" t="s">
        <v>130</v>
      </c>
      <c r="B5" s="1" t="s">
        <v>131</v>
      </c>
      <c r="C5" s="1" t="s">
        <v>124</v>
      </c>
      <c r="D5" s="1" t="s">
        <v>125</v>
      </c>
      <c r="E5" s="1">
        <v>1500</v>
      </c>
      <c r="F5" s="1">
        <v>2000</v>
      </c>
      <c r="G5" s="1">
        <v>0.3</v>
      </c>
      <c r="H5" s="1">
        <v>2</v>
      </c>
      <c r="I5" s="1">
        <v>20</v>
      </c>
      <c r="J5" s="1">
        <v>450</v>
      </c>
      <c r="K5" s="1">
        <v>67</v>
      </c>
      <c r="L5" s="1">
        <v>54</v>
      </c>
      <c r="M5" s="1">
        <v>6</v>
      </c>
      <c r="N5" s="1">
        <v>40</v>
      </c>
      <c r="O5" s="1">
        <v>11</v>
      </c>
      <c r="P5" s="1">
        <v>37</v>
      </c>
      <c r="Q5" s="1">
        <v>26</v>
      </c>
      <c r="R5" s="1">
        <v>0.29729729729729731</v>
      </c>
      <c r="S5" s="1">
        <v>51066</v>
      </c>
      <c r="T5" s="1">
        <v>11088.982400000001</v>
      </c>
      <c r="U5" s="1">
        <v>209875.6</v>
      </c>
      <c r="V5" s="1">
        <v>62154.982400000001</v>
      </c>
      <c r="W5" s="1">
        <v>-147720.6176</v>
      </c>
      <c r="X5" s="1">
        <v>11</v>
      </c>
      <c r="Y5" s="1">
        <v>0.81399999999999995</v>
      </c>
      <c r="Z5" s="1">
        <v>1.8314999999999999</v>
      </c>
      <c r="AA5" s="1">
        <v>16.28</v>
      </c>
      <c r="AB5" s="1">
        <v>18.111499999999999</v>
      </c>
      <c r="AC5" s="1">
        <v>0.30277383561643789</v>
      </c>
      <c r="AD5" s="1">
        <v>-13429.14705454545</v>
      </c>
      <c r="AE5" s="1">
        <v>-8156.1779863622542</v>
      </c>
      <c r="AF5" s="1">
        <v>-487890.96091888339</v>
      </c>
      <c r="AG5" s="1">
        <v>962738.1176</v>
      </c>
      <c r="AH5" s="1">
        <v>1506083.1176</v>
      </c>
      <c r="AI5" s="1">
        <v>161345.4402027397</v>
      </c>
      <c r="AJ5" s="1">
        <v>170428.6552712328</v>
      </c>
      <c r="AK5" s="1" t="s">
        <v>126</v>
      </c>
      <c r="AL5" s="1" t="s">
        <v>127</v>
      </c>
    </row>
    <row r="6" spans="1:38" ht="29" x14ac:dyDescent="0.35">
      <c r="A6" s="1" t="s">
        <v>132</v>
      </c>
      <c r="B6" s="1" t="s">
        <v>133</v>
      </c>
      <c r="C6" s="1" t="s">
        <v>124</v>
      </c>
      <c r="D6" s="1" t="s">
        <v>125</v>
      </c>
      <c r="E6" s="1">
        <v>1500</v>
      </c>
      <c r="F6" s="1">
        <v>2000</v>
      </c>
      <c r="G6" s="1">
        <v>0.3</v>
      </c>
      <c r="H6" s="1">
        <v>2</v>
      </c>
      <c r="I6" s="1">
        <v>20</v>
      </c>
      <c r="J6" s="1">
        <v>450</v>
      </c>
      <c r="K6" s="1">
        <v>62</v>
      </c>
      <c r="L6" s="1">
        <v>50</v>
      </c>
      <c r="M6" s="1">
        <v>6</v>
      </c>
      <c r="N6" s="1">
        <v>37</v>
      </c>
      <c r="O6" s="1">
        <v>12</v>
      </c>
      <c r="P6" s="1">
        <v>37</v>
      </c>
      <c r="Q6" s="1">
        <v>25</v>
      </c>
      <c r="R6" s="1">
        <v>0.3235294117647059</v>
      </c>
      <c r="S6" s="1">
        <v>51066</v>
      </c>
      <c r="T6" s="1">
        <v>10261.446400000001</v>
      </c>
      <c r="U6" s="1">
        <v>228955.2</v>
      </c>
      <c r="V6" s="1">
        <v>61327.446400000001</v>
      </c>
      <c r="W6" s="1">
        <v>-167627.7536</v>
      </c>
      <c r="X6" s="1">
        <v>12</v>
      </c>
      <c r="Y6" s="1">
        <v>0.8879999999999999</v>
      </c>
      <c r="Z6" s="1">
        <v>1.998</v>
      </c>
      <c r="AA6" s="1">
        <v>17.760000000000002</v>
      </c>
      <c r="AB6" s="1">
        <v>19.757999999999999</v>
      </c>
      <c r="AC6" s="1">
        <v>0.33032383561643791</v>
      </c>
      <c r="AD6" s="1">
        <v>-13968.979466666669</v>
      </c>
      <c r="AE6" s="1">
        <v>-8484.0446199008002</v>
      </c>
      <c r="AF6" s="1">
        <v>-507464.90421189071</v>
      </c>
      <c r="AG6" s="1">
        <v>1056737.7535999999</v>
      </c>
      <c r="AH6" s="1">
        <v>1649477.7535999999</v>
      </c>
      <c r="AI6" s="1">
        <v>182492.3262027397</v>
      </c>
      <c r="AJ6" s="1">
        <v>192402.0412712328</v>
      </c>
      <c r="AK6" s="1" t="s">
        <v>126</v>
      </c>
      <c r="AL6" s="1" t="s">
        <v>127</v>
      </c>
    </row>
    <row r="7" spans="1:3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5">
      <c r="A9" s="4" t="s">
        <v>134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5">
      <c r="A10" s="2" t="s">
        <v>84</v>
      </c>
      <c r="B10" s="2" t="s">
        <v>85</v>
      </c>
      <c r="C10" s="2" t="s">
        <v>135</v>
      </c>
      <c r="D10" s="2" t="s">
        <v>136</v>
      </c>
      <c r="E10" s="2" t="s">
        <v>137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5">
      <c r="A11" s="1" t="s">
        <v>122</v>
      </c>
      <c r="B11" s="1" t="s">
        <v>123</v>
      </c>
      <c r="C11" s="1" t="s">
        <v>138</v>
      </c>
      <c r="D11" s="1" t="s">
        <v>107</v>
      </c>
      <c r="E11" s="1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5">
      <c r="A12" s="1" t="s">
        <v>122</v>
      </c>
      <c r="B12" s="1" t="s">
        <v>123</v>
      </c>
      <c r="C12" s="1" t="s">
        <v>138</v>
      </c>
      <c r="D12" s="1" t="s">
        <v>108</v>
      </c>
      <c r="E12" s="1">
        <v>0.29599999999999999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5">
      <c r="A13" s="1" t="s">
        <v>122</v>
      </c>
      <c r="B13" s="1" t="s">
        <v>123</v>
      </c>
      <c r="C13" s="1" t="s">
        <v>138</v>
      </c>
      <c r="D13" s="1" t="s">
        <v>109</v>
      </c>
      <c r="E13" s="1">
        <v>0.66600000000000004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5">
      <c r="A14" s="1" t="s">
        <v>122</v>
      </c>
      <c r="B14" s="1" t="s">
        <v>123</v>
      </c>
      <c r="C14" s="1" t="s">
        <v>138</v>
      </c>
      <c r="D14" s="1" t="s">
        <v>110</v>
      </c>
      <c r="E14" s="1">
        <v>5.92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5">
      <c r="A15" s="1" t="s">
        <v>122</v>
      </c>
      <c r="B15" s="1" t="s">
        <v>123</v>
      </c>
      <c r="C15" s="1" t="s">
        <v>138</v>
      </c>
      <c r="D15" s="1" t="s">
        <v>111</v>
      </c>
      <c r="E15" s="1">
        <v>6.5860000000000003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5">
      <c r="A16" s="1" t="s">
        <v>122</v>
      </c>
      <c r="B16" s="1" t="s">
        <v>123</v>
      </c>
      <c r="C16" s="1" t="s">
        <v>138</v>
      </c>
      <c r="D16" s="1" t="s">
        <v>139</v>
      </c>
      <c r="E16" s="1">
        <v>0.1101999999999999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5">
      <c r="A17" s="1" t="s">
        <v>122</v>
      </c>
      <c r="B17" s="1" t="s">
        <v>123</v>
      </c>
      <c r="C17" s="1" t="s">
        <v>138</v>
      </c>
      <c r="D17" s="1" t="s">
        <v>140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5">
      <c r="A18" s="1" t="s">
        <v>122</v>
      </c>
      <c r="B18" s="1" t="s">
        <v>123</v>
      </c>
      <c r="C18" s="1" t="s">
        <v>138</v>
      </c>
      <c r="D18" s="1" t="s">
        <v>141</v>
      </c>
      <c r="E18" s="1">
        <v>9.2054794520546329E-5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5">
      <c r="A19" s="1" t="s">
        <v>122</v>
      </c>
      <c r="B19" s="1" t="s">
        <v>123</v>
      </c>
      <c r="C19" s="1" t="s">
        <v>138</v>
      </c>
      <c r="D19" s="1" t="s">
        <v>112</v>
      </c>
      <c r="E19" s="1">
        <v>0.1101079452054793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5">
      <c r="A20" s="1" t="s">
        <v>128</v>
      </c>
      <c r="B20" s="1" t="s">
        <v>129</v>
      </c>
      <c r="C20" s="1" t="s">
        <v>138</v>
      </c>
      <c r="D20" s="1" t="s">
        <v>107</v>
      </c>
      <c r="E20" s="1">
        <v>11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5">
      <c r="A21" s="1" t="s">
        <v>128</v>
      </c>
      <c r="B21" s="1" t="s">
        <v>129</v>
      </c>
      <c r="C21" s="1" t="s">
        <v>138</v>
      </c>
      <c r="D21" s="1" t="s">
        <v>108</v>
      </c>
      <c r="E21" s="1">
        <v>0.81399999999999995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5">
      <c r="A22" s="1" t="s">
        <v>128</v>
      </c>
      <c r="B22" s="1" t="s">
        <v>129</v>
      </c>
      <c r="C22" s="1" t="s">
        <v>138</v>
      </c>
      <c r="D22" s="1" t="s">
        <v>109</v>
      </c>
      <c r="E22" s="1">
        <v>1.8314999999999999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5">
      <c r="A23" s="1" t="s">
        <v>128</v>
      </c>
      <c r="B23" s="1" t="s">
        <v>129</v>
      </c>
      <c r="C23" s="1" t="s">
        <v>138</v>
      </c>
      <c r="D23" s="1" t="s">
        <v>110</v>
      </c>
      <c r="E23" s="1">
        <v>16.28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5">
      <c r="A24" s="1" t="s">
        <v>128</v>
      </c>
      <c r="B24" s="1" t="s">
        <v>129</v>
      </c>
      <c r="C24" s="1" t="s">
        <v>138</v>
      </c>
      <c r="D24" s="1" t="s">
        <v>111</v>
      </c>
      <c r="E24" s="1">
        <v>18.111499999999999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5">
      <c r="A25" s="1" t="s">
        <v>128</v>
      </c>
      <c r="B25" s="1" t="s">
        <v>129</v>
      </c>
      <c r="C25" s="1" t="s">
        <v>138</v>
      </c>
      <c r="D25" s="1" t="s">
        <v>139</v>
      </c>
      <c r="E25" s="1">
        <v>0.3030499999999996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5">
      <c r="A26" s="1" t="s">
        <v>128</v>
      </c>
      <c r="B26" s="1" t="s">
        <v>129</v>
      </c>
      <c r="C26" s="1" t="s">
        <v>138</v>
      </c>
      <c r="D26" s="1" t="s">
        <v>140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5">
      <c r="A27" s="1" t="s">
        <v>128</v>
      </c>
      <c r="B27" s="1" t="s">
        <v>129</v>
      </c>
      <c r="C27" s="1" t="s">
        <v>138</v>
      </c>
      <c r="D27" s="1" t="s">
        <v>141</v>
      </c>
      <c r="E27" s="1">
        <v>2.7616438356163901E-4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5">
      <c r="A28" s="1" t="s">
        <v>128</v>
      </c>
      <c r="B28" s="1" t="s">
        <v>129</v>
      </c>
      <c r="C28" s="1" t="s">
        <v>138</v>
      </c>
      <c r="D28" s="1" t="s">
        <v>112</v>
      </c>
      <c r="E28" s="1">
        <v>0.30277383561643789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5">
      <c r="A29" s="1" t="s">
        <v>130</v>
      </c>
      <c r="B29" s="1" t="s">
        <v>131</v>
      </c>
      <c r="C29" s="1" t="s">
        <v>138</v>
      </c>
      <c r="D29" s="1" t="s">
        <v>107</v>
      </c>
      <c r="E29" s="1">
        <v>11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5">
      <c r="A30" s="1" t="s">
        <v>130</v>
      </c>
      <c r="B30" s="1" t="s">
        <v>131</v>
      </c>
      <c r="C30" s="1" t="s">
        <v>138</v>
      </c>
      <c r="D30" s="1" t="s">
        <v>108</v>
      </c>
      <c r="E30" s="1">
        <v>0.81399999999999995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5">
      <c r="A31" s="1" t="s">
        <v>130</v>
      </c>
      <c r="B31" s="1" t="s">
        <v>131</v>
      </c>
      <c r="C31" s="1" t="s">
        <v>138</v>
      </c>
      <c r="D31" s="1" t="s">
        <v>109</v>
      </c>
      <c r="E31" s="1">
        <v>1.8314999999999999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5">
      <c r="A32" s="1" t="s">
        <v>130</v>
      </c>
      <c r="B32" s="1" t="s">
        <v>131</v>
      </c>
      <c r="C32" s="1" t="s">
        <v>138</v>
      </c>
      <c r="D32" s="1" t="s">
        <v>110</v>
      </c>
      <c r="E32" s="1">
        <v>16.28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5">
      <c r="A33" s="1" t="s">
        <v>130</v>
      </c>
      <c r="B33" s="1" t="s">
        <v>131</v>
      </c>
      <c r="C33" s="1" t="s">
        <v>138</v>
      </c>
      <c r="D33" s="1" t="s">
        <v>111</v>
      </c>
      <c r="E33" s="1">
        <v>18.111499999999999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5">
      <c r="A34" s="1" t="s">
        <v>130</v>
      </c>
      <c r="B34" s="1" t="s">
        <v>131</v>
      </c>
      <c r="C34" s="1" t="s">
        <v>138</v>
      </c>
      <c r="D34" s="1" t="s">
        <v>139</v>
      </c>
      <c r="E34" s="1">
        <v>0.3030499999999996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5">
      <c r="A35" s="1" t="s">
        <v>130</v>
      </c>
      <c r="B35" s="1" t="s">
        <v>131</v>
      </c>
      <c r="C35" s="1" t="s">
        <v>138</v>
      </c>
      <c r="D35" s="1" t="s">
        <v>140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5">
      <c r="A36" s="1" t="s">
        <v>130</v>
      </c>
      <c r="B36" s="1" t="s">
        <v>131</v>
      </c>
      <c r="C36" s="1" t="s">
        <v>138</v>
      </c>
      <c r="D36" s="1" t="s">
        <v>141</v>
      </c>
      <c r="E36" s="1">
        <v>2.7616438356163901E-4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5">
      <c r="A37" s="1" t="s">
        <v>130</v>
      </c>
      <c r="B37" s="1" t="s">
        <v>131</v>
      </c>
      <c r="C37" s="1" t="s">
        <v>138</v>
      </c>
      <c r="D37" s="1" t="s">
        <v>112</v>
      </c>
      <c r="E37" s="1">
        <v>0.30277383561643789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35">
      <c r="A38" s="1" t="s">
        <v>132</v>
      </c>
      <c r="B38" s="1" t="s">
        <v>133</v>
      </c>
      <c r="C38" s="1" t="s">
        <v>138</v>
      </c>
      <c r="D38" s="1" t="s">
        <v>107</v>
      </c>
      <c r="E38" s="1">
        <v>12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35">
      <c r="A39" s="1" t="s">
        <v>132</v>
      </c>
      <c r="B39" s="1" t="s">
        <v>133</v>
      </c>
      <c r="C39" s="1" t="s">
        <v>138</v>
      </c>
      <c r="D39" s="1" t="s">
        <v>108</v>
      </c>
      <c r="E39" s="1">
        <v>0.8879999999999999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35">
      <c r="A40" s="1" t="s">
        <v>132</v>
      </c>
      <c r="B40" s="1" t="s">
        <v>133</v>
      </c>
      <c r="C40" s="1" t="s">
        <v>138</v>
      </c>
      <c r="D40" s="1" t="s">
        <v>109</v>
      </c>
      <c r="E40" s="1">
        <v>1.998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35">
      <c r="A41" s="1" t="s">
        <v>132</v>
      </c>
      <c r="B41" s="1" t="s">
        <v>133</v>
      </c>
      <c r="C41" s="1" t="s">
        <v>138</v>
      </c>
      <c r="D41" s="1" t="s">
        <v>110</v>
      </c>
      <c r="E41" s="1">
        <v>17.760000000000002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35">
      <c r="A42" s="1" t="s">
        <v>132</v>
      </c>
      <c r="B42" s="1" t="s">
        <v>133</v>
      </c>
      <c r="C42" s="1" t="s">
        <v>138</v>
      </c>
      <c r="D42" s="1" t="s">
        <v>111</v>
      </c>
      <c r="E42" s="1">
        <v>19.757999999999999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35">
      <c r="A43" s="1" t="s">
        <v>132</v>
      </c>
      <c r="B43" s="1" t="s">
        <v>133</v>
      </c>
      <c r="C43" s="1" t="s">
        <v>138</v>
      </c>
      <c r="D43" s="1" t="s">
        <v>139</v>
      </c>
      <c r="E43" s="1">
        <v>0.33059999999999962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35">
      <c r="A44" s="1" t="s">
        <v>132</v>
      </c>
      <c r="B44" s="1" t="s">
        <v>133</v>
      </c>
      <c r="C44" s="1" t="s">
        <v>138</v>
      </c>
      <c r="D44" s="1" t="s">
        <v>140</v>
      </c>
      <c r="E44" s="1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35">
      <c r="A45" s="1" t="s">
        <v>132</v>
      </c>
      <c r="B45" s="1" t="s">
        <v>133</v>
      </c>
      <c r="C45" s="1" t="s">
        <v>138</v>
      </c>
      <c r="D45" s="1" t="s">
        <v>141</v>
      </c>
      <c r="E45" s="1">
        <v>2.7616438356163901E-4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35">
      <c r="A46" s="1" t="s">
        <v>132</v>
      </c>
      <c r="B46" s="1" t="s">
        <v>133</v>
      </c>
      <c r="C46" s="1" t="s">
        <v>138</v>
      </c>
      <c r="D46" s="1" t="s">
        <v>112</v>
      </c>
      <c r="E46" s="1">
        <v>0.33032383561643791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35">
      <c r="A49" s="4" t="s">
        <v>142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35">
      <c r="A50" s="2" t="s">
        <v>84</v>
      </c>
      <c r="B50" s="2" t="s">
        <v>85</v>
      </c>
      <c r="C50" s="2" t="s">
        <v>135</v>
      </c>
      <c r="D50" s="2" t="s">
        <v>136</v>
      </c>
      <c r="E50" s="2" t="s">
        <v>137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35">
      <c r="A51" s="1" t="s">
        <v>122</v>
      </c>
      <c r="B51" s="1" t="s">
        <v>123</v>
      </c>
      <c r="C51" s="1" t="s">
        <v>143</v>
      </c>
      <c r="D51" s="1" t="s">
        <v>102</v>
      </c>
      <c r="E51" s="1">
        <v>51066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35">
      <c r="A52" s="1" t="s">
        <v>122</v>
      </c>
      <c r="B52" s="1" t="s">
        <v>123</v>
      </c>
      <c r="C52" s="1" t="s">
        <v>143</v>
      </c>
      <c r="D52" s="1" t="s">
        <v>103</v>
      </c>
      <c r="E52" s="1">
        <v>5296.2304000000004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35">
      <c r="A53" s="1" t="s">
        <v>122</v>
      </c>
      <c r="B53" s="1" t="s">
        <v>123</v>
      </c>
      <c r="C53" s="1" t="s">
        <v>143</v>
      </c>
      <c r="D53" s="1" t="s">
        <v>144</v>
      </c>
      <c r="E53" s="1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35">
      <c r="A54" s="1" t="s">
        <v>122</v>
      </c>
      <c r="B54" s="1" t="s">
        <v>123</v>
      </c>
      <c r="C54" s="1" t="s">
        <v>143</v>
      </c>
      <c r="D54" s="1" t="s">
        <v>145</v>
      </c>
      <c r="E54" s="1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35">
      <c r="A55" s="1" t="s">
        <v>122</v>
      </c>
      <c r="B55" s="1" t="s">
        <v>123</v>
      </c>
      <c r="C55" s="1" t="s">
        <v>143</v>
      </c>
      <c r="D55" s="1" t="s">
        <v>146</v>
      </c>
      <c r="E55" s="1"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" t="s">
        <v>122</v>
      </c>
      <c r="B56" s="1" t="s">
        <v>123</v>
      </c>
      <c r="C56" s="1" t="s">
        <v>143</v>
      </c>
      <c r="D56" s="1" t="s">
        <v>104</v>
      </c>
      <c r="E56" s="1">
        <v>76318.399999999994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s="1" t="s">
        <v>122</v>
      </c>
      <c r="B57" s="1" t="s">
        <v>123</v>
      </c>
      <c r="C57" s="1" t="s">
        <v>143</v>
      </c>
      <c r="D57" s="1" t="s">
        <v>147</v>
      </c>
      <c r="E57" s="1">
        <v>705945.2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5">
      <c r="A58" s="1" t="s">
        <v>122</v>
      </c>
      <c r="B58" s="1" t="s">
        <v>123</v>
      </c>
      <c r="C58" s="1" t="s">
        <v>143</v>
      </c>
      <c r="D58" s="1" t="s">
        <v>148</v>
      </c>
      <c r="E58" s="1">
        <v>629626.79999999993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" t="s">
        <v>122</v>
      </c>
      <c r="B59" s="1" t="s">
        <v>123</v>
      </c>
      <c r="C59" s="1" t="s">
        <v>143</v>
      </c>
      <c r="D59" s="1" t="s">
        <v>105</v>
      </c>
      <c r="E59" s="1">
        <v>56362.2304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35">
      <c r="A60" s="1" t="s">
        <v>122</v>
      </c>
      <c r="B60" s="1" t="s">
        <v>123</v>
      </c>
      <c r="C60" s="1" t="s">
        <v>143</v>
      </c>
      <c r="D60" s="1" t="s">
        <v>106</v>
      </c>
      <c r="E60" s="1">
        <v>-19956.16959999999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35">
      <c r="A61" s="1" t="s">
        <v>128</v>
      </c>
      <c r="B61" s="1" t="s">
        <v>129</v>
      </c>
      <c r="C61" s="1" t="s">
        <v>143</v>
      </c>
      <c r="D61" s="1" t="s">
        <v>102</v>
      </c>
      <c r="E61" s="1">
        <v>51066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35">
      <c r="A62" s="1" t="s">
        <v>128</v>
      </c>
      <c r="B62" s="1" t="s">
        <v>129</v>
      </c>
      <c r="C62" s="1" t="s">
        <v>143</v>
      </c>
      <c r="D62" s="1" t="s">
        <v>103</v>
      </c>
      <c r="E62" s="1">
        <v>11088.982400000001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" t="s">
        <v>128</v>
      </c>
      <c r="B63" s="1" t="s">
        <v>129</v>
      </c>
      <c r="C63" s="1" t="s">
        <v>143</v>
      </c>
      <c r="D63" s="1" t="s">
        <v>144</v>
      </c>
      <c r="E63" s="1"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5">
      <c r="A64" s="1" t="s">
        <v>128</v>
      </c>
      <c r="B64" s="1" t="s">
        <v>129</v>
      </c>
      <c r="C64" s="1" t="s">
        <v>143</v>
      </c>
      <c r="D64" s="1" t="s">
        <v>145</v>
      </c>
      <c r="E64" s="1"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35">
      <c r="A65" s="1" t="s">
        <v>128</v>
      </c>
      <c r="B65" s="1" t="s">
        <v>129</v>
      </c>
      <c r="C65" s="1" t="s">
        <v>143</v>
      </c>
      <c r="D65" s="1" t="s">
        <v>146</v>
      </c>
      <c r="E65" s="1"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35">
      <c r="A66" s="1" t="s">
        <v>128</v>
      </c>
      <c r="B66" s="1" t="s">
        <v>129</v>
      </c>
      <c r="C66" s="1" t="s">
        <v>143</v>
      </c>
      <c r="D66" s="1" t="s">
        <v>104</v>
      </c>
      <c r="E66" s="1">
        <v>209875.6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35">
      <c r="A67" s="1" t="s">
        <v>128</v>
      </c>
      <c r="B67" s="1" t="s">
        <v>129</v>
      </c>
      <c r="C67" s="1" t="s">
        <v>143</v>
      </c>
      <c r="D67" s="1" t="s">
        <v>147</v>
      </c>
      <c r="E67" s="1">
        <v>705945.2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35">
      <c r="A68" s="1" t="s">
        <v>128</v>
      </c>
      <c r="B68" s="1" t="s">
        <v>129</v>
      </c>
      <c r="C68" s="1" t="s">
        <v>143</v>
      </c>
      <c r="D68" s="1" t="s">
        <v>148</v>
      </c>
      <c r="E68" s="1">
        <v>496069.6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35">
      <c r="A69" s="1" t="s">
        <v>128</v>
      </c>
      <c r="B69" s="1" t="s">
        <v>129</v>
      </c>
      <c r="C69" s="1" t="s">
        <v>143</v>
      </c>
      <c r="D69" s="1" t="s">
        <v>105</v>
      </c>
      <c r="E69" s="1">
        <v>62154.982400000001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35">
      <c r="A70" s="1" t="s">
        <v>128</v>
      </c>
      <c r="B70" s="1" t="s">
        <v>129</v>
      </c>
      <c r="C70" s="1" t="s">
        <v>143</v>
      </c>
      <c r="D70" s="1" t="s">
        <v>106</v>
      </c>
      <c r="E70" s="1">
        <v>-147720.6176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35">
      <c r="A71" s="1" t="s">
        <v>130</v>
      </c>
      <c r="B71" s="1" t="s">
        <v>131</v>
      </c>
      <c r="C71" s="1" t="s">
        <v>143</v>
      </c>
      <c r="D71" s="1" t="s">
        <v>102</v>
      </c>
      <c r="E71" s="1">
        <v>51066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35">
      <c r="A72" s="1" t="s">
        <v>130</v>
      </c>
      <c r="B72" s="1" t="s">
        <v>131</v>
      </c>
      <c r="C72" s="1" t="s">
        <v>143</v>
      </c>
      <c r="D72" s="1" t="s">
        <v>103</v>
      </c>
      <c r="E72" s="1">
        <v>11088.982400000001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35">
      <c r="A73" s="1" t="s">
        <v>130</v>
      </c>
      <c r="B73" s="1" t="s">
        <v>131</v>
      </c>
      <c r="C73" s="1" t="s">
        <v>143</v>
      </c>
      <c r="D73" s="1" t="s">
        <v>144</v>
      </c>
      <c r="E73" s="1"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35">
      <c r="A74" s="1" t="s">
        <v>130</v>
      </c>
      <c r="B74" s="1" t="s">
        <v>131</v>
      </c>
      <c r="C74" s="1" t="s">
        <v>143</v>
      </c>
      <c r="D74" s="1" t="s">
        <v>145</v>
      </c>
      <c r="E74" s="1"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35">
      <c r="A75" s="1" t="s">
        <v>130</v>
      </c>
      <c r="B75" s="1" t="s">
        <v>131</v>
      </c>
      <c r="C75" s="1" t="s">
        <v>143</v>
      </c>
      <c r="D75" s="1" t="s">
        <v>146</v>
      </c>
      <c r="E75" s="1"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35">
      <c r="A76" s="1" t="s">
        <v>130</v>
      </c>
      <c r="B76" s="1" t="s">
        <v>131</v>
      </c>
      <c r="C76" s="1" t="s">
        <v>143</v>
      </c>
      <c r="D76" s="1" t="s">
        <v>104</v>
      </c>
      <c r="E76" s="1">
        <v>209875.6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35">
      <c r="A77" s="1" t="s">
        <v>130</v>
      </c>
      <c r="B77" s="1" t="s">
        <v>131</v>
      </c>
      <c r="C77" s="1" t="s">
        <v>143</v>
      </c>
      <c r="D77" s="1" t="s">
        <v>147</v>
      </c>
      <c r="E77" s="1">
        <v>705945.2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35">
      <c r="A78" s="1" t="s">
        <v>130</v>
      </c>
      <c r="B78" s="1" t="s">
        <v>131</v>
      </c>
      <c r="C78" s="1" t="s">
        <v>143</v>
      </c>
      <c r="D78" s="1" t="s">
        <v>148</v>
      </c>
      <c r="E78" s="1">
        <v>496069.6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35">
      <c r="A79" s="1" t="s">
        <v>130</v>
      </c>
      <c r="B79" s="1" t="s">
        <v>131</v>
      </c>
      <c r="C79" s="1" t="s">
        <v>143</v>
      </c>
      <c r="D79" s="1" t="s">
        <v>105</v>
      </c>
      <c r="E79" s="1">
        <v>62154.982400000001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35">
      <c r="A80" s="1" t="s">
        <v>130</v>
      </c>
      <c r="B80" s="1" t="s">
        <v>131</v>
      </c>
      <c r="C80" s="1" t="s">
        <v>143</v>
      </c>
      <c r="D80" s="1" t="s">
        <v>106</v>
      </c>
      <c r="E80" s="1">
        <v>-147720.6176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35">
      <c r="A81" s="1" t="s">
        <v>132</v>
      </c>
      <c r="B81" s="1" t="s">
        <v>133</v>
      </c>
      <c r="C81" s="1" t="s">
        <v>143</v>
      </c>
      <c r="D81" s="1" t="s">
        <v>102</v>
      </c>
      <c r="E81" s="1">
        <v>51066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35">
      <c r="A82" s="1" t="s">
        <v>132</v>
      </c>
      <c r="B82" s="1" t="s">
        <v>133</v>
      </c>
      <c r="C82" s="1" t="s">
        <v>143</v>
      </c>
      <c r="D82" s="1" t="s">
        <v>103</v>
      </c>
      <c r="E82" s="1">
        <v>10261.446400000001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35">
      <c r="A83" s="1" t="s">
        <v>132</v>
      </c>
      <c r="B83" s="1" t="s">
        <v>133</v>
      </c>
      <c r="C83" s="1" t="s">
        <v>143</v>
      </c>
      <c r="D83" s="1" t="s">
        <v>144</v>
      </c>
      <c r="E83" s="1">
        <v>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35">
      <c r="A84" s="1" t="s">
        <v>132</v>
      </c>
      <c r="B84" s="1" t="s">
        <v>133</v>
      </c>
      <c r="C84" s="1" t="s">
        <v>143</v>
      </c>
      <c r="D84" s="1" t="s">
        <v>145</v>
      </c>
      <c r="E84" s="1"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35">
      <c r="A85" s="1" t="s">
        <v>132</v>
      </c>
      <c r="B85" s="1" t="s">
        <v>133</v>
      </c>
      <c r="C85" s="1" t="s">
        <v>143</v>
      </c>
      <c r="D85" s="1" t="s">
        <v>146</v>
      </c>
      <c r="E85" s="1">
        <v>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35">
      <c r="A86" s="1" t="s">
        <v>132</v>
      </c>
      <c r="B86" s="1" t="s">
        <v>133</v>
      </c>
      <c r="C86" s="1" t="s">
        <v>143</v>
      </c>
      <c r="D86" s="1" t="s">
        <v>104</v>
      </c>
      <c r="E86" s="1">
        <v>228955.2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35">
      <c r="A87" s="1" t="s">
        <v>132</v>
      </c>
      <c r="B87" s="1" t="s">
        <v>133</v>
      </c>
      <c r="C87" s="1" t="s">
        <v>143</v>
      </c>
      <c r="D87" s="1" t="s">
        <v>147</v>
      </c>
      <c r="E87" s="1">
        <v>705945.2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35">
      <c r="A88" s="1" t="s">
        <v>132</v>
      </c>
      <c r="B88" s="1" t="s">
        <v>133</v>
      </c>
      <c r="C88" s="1" t="s">
        <v>143</v>
      </c>
      <c r="D88" s="1" t="s">
        <v>148</v>
      </c>
      <c r="E88" s="1">
        <v>476989.99999999988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35">
      <c r="A89" s="1" t="s">
        <v>132</v>
      </c>
      <c r="B89" s="1" t="s">
        <v>133</v>
      </c>
      <c r="C89" s="1" t="s">
        <v>143</v>
      </c>
      <c r="D89" s="1" t="s">
        <v>105</v>
      </c>
      <c r="E89" s="1">
        <v>61327.446400000001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35">
      <c r="A90" s="1" t="s">
        <v>132</v>
      </c>
      <c r="B90" s="1" t="s">
        <v>133</v>
      </c>
      <c r="C90" s="1" t="s">
        <v>143</v>
      </c>
      <c r="D90" s="1" t="s">
        <v>106</v>
      </c>
      <c r="E90" s="1">
        <v>-167627.7536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35">
      <c r="A93" s="4" t="s">
        <v>149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29" x14ac:dyDescent="0.35">
      <c r="A94" s="2" t="s">
        <v>84</v>
      </c>
      <c r="B94" s="2" t="s">
        <v>85</v>
      </c>
      <c r="C94" s="2" t="s">
        <v>150</v>
      </c>
      <c r="D94" s="2" t="s">
        <v>107</v>
      </c>
      <c r="E94" s="2" t="s">
        <v>111</v>
      </c>
      <c r="F94" s="2" t="s">
        <v>112</v>
      </c>
      <c r="G94" s="2" t="s">
        <v>114</v>
      </c>
      <c r="H94" s="2" t="s">
        <v>115</v>
      </c>
      <c r="I94" s="2" t="s">
        <v>116</v>
      </c>
      <c r="J94" s="2" t="s">
        <v>117</v>
      </c>
      <c r="K94" s="2" t="s">
        <v>118</v>
      </c>
      <c r="L94" s="2" t="s">
        <v>119</v>
      </c>
      <c r="M94" s="2" t="s">
        <v>121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43.5" x14ac:dyDescent="0.35">
      <c r="A95" s="1" t="s">
        <v>122</v>
      </c>
      <c r="B95" s="1" t="s">
        <v>123</v>
      </c>
      <c r="C95" s="1" t="s">
        <v>151</v>
      </c>
      <c r="D95" s="1">
        <v>4</v>
      </c>
      <c r="E95" s="1">
        <v>6.5860000000000003</v>
      </c>
      <c r="F95" s="1">
        <v>0.1101079452054793</v>
      </c>
      <c r="G95" s="1">
        <v>-3030.089523231095</v>
      </c>
      <c r="H95" s="1">
        <v>-181241.8673580598</v>
      </c>
      <c r="I95" s="1">
        <v>316326.16960000002</v>
      </c>
      <c r="J95" s="1">
        <v>513906.16960000002</v>
      </c>
      <c r="K95" s="1">
        <v>24911.02713424656</v>
      </c>
      <c r="L95" s="1">
        <v>28214.26549041094</v>
      </c>
      <c r="M95" s="1" t="s">
        <v>152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43.5" x14ac:dyDescent="0.35">
      <c r="A96" s="1" t="s">
        <v>122</v>
      </c>
      <c r="B96" s="1" t="s">
        <v>123</v>
      </c>
      <c r="C96" s="1" t="s">
        <v>153</v>
      </c>
      <c r="D96" s="1">
        <v>4</v>
      </c>
      <c r="E96" s="1">
        <v>6.5860000000000003</v>
      </c>
      <c r="F96" s="1">
        <v>3.7079452054793178E-3</v>
      </c>
      <c r="G96" s="1">
        <v>-3030.089523231095</v>
      </c>
      <c r="H96" s="1">
        <v>-5382002.2934832722</v>
      </c>
      <c r="I96" s="1">
        <v>316326.16960000002</v>
      </c>
      <c r="J96" s="1">
        <v>513906.16960000002</v>
      </c>
      <c r="K96" s="1">
        <v>20123.02713424656</v>
      </c>
      <c r="L96" s="1">
        <v>20234.26549041094</v>
      </c>
      <c r="M96" s="1" t="s">
        <v>152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29" x14ac:dyDescent="0.35">
      <c r="A97" s="1" t="s">
        <v>122</v>
      </c>
      <c r="B97" s="1" t="s">
        <v>123</v>
      </c>
      <c r="C97" s="1" t="s">
        <v>154</v>
      </c>
      <c r="D97" s="1">
        <v>4</v>
      </c>
      <c r="E97" s="1">
        <v>0.66600000000000004</v>
      </c>
      <c r="F97" s="1">
        <v>0.1101079452054793</v>
      </c>
      <c r="G97" s="1">
        <v>-29964.218618618612</v>
      </c>
      <c r="H97" s="1">
        <v>-181241.8673580598</v>
      </c>
      <c r="I97" s="1">
        <v>49926.169599999987</v>
      </c>
      <c r="J97" s="1">
        <v>69906.169599999994</v>
      </c>
      <c r="K97" s="1">
        <v>24911.02713424656</v>
      </c>
      <c r="L97" s="1">
        <v>28214.26549041094</v>
      </c>
      <c r="M97" s="1" t="s">
        <v>152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29" x14ac:dyDescent="0.35">
      <c r="A98" s="1" t="s">
        <v>122</v>
      </c>
      <c r="B98" s="1" t="s">
        <v>123</v>
      </c>
      <c r="C98" s="1" t="s">
        <v>155</v>
      </c>
      <c r="D98" s="1">
        <v>4</v>
      </c>
      <c r="E98" s="1">
        <v>3.6259999999999999</v>
      </c>
      <c r="F98" s="1">
        <v>0.1101079452054793</v>
      </c>
      <c r="G98" s="1">
        <v>-5503.6319911748469</v>
      </c>
      <c r="H98" s="1">
        <v>-181241.8673580598</v>
      </c>
      <c r="I98" s="1">
        <v>183126.16959999999</v>
      </c>
      <c r="J98" s="1">
        <v>291906.16960000002</v>
      </c>
      <c r="K98" s="1">
        <v>24911.02713424656</v>
      </c>
      <c r="L98" s="1">
        <v>28214.26549041094</v>
      </c>
      <c r="M98" s="1" t="s">
        <v>152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29" x14ac:dyDescent="0.35">
      <c r="A99" s="1" t="s">
        <v>122</v>
      </c>
      <c r="B99" s="1" t="s">
        <v>123</v>
      </c>
      <c r="C99" s="1" t="s">
        <v>156</v>
      </c>
      <c r="D99" s="1">
        <v>4</v>
      </c>
      <c r="E99" s="1">
        <v>9.5459999999999994</v>
      </c>
      <c r="F99" s="1">
        <v>0.1101079452054793</v>
      </c>
      <c r="G99" s="1">
        <v>-2090.52688036874</v>
      </c>
      <c r="H99" s="1">
        <v>-181241.8673580598</v>
      </c>
      <c r="I99" s="1">
        <v>449526.16960000002</v>
      </c>
      <c r="J99" s="1">
        <v>735906.16960000002</v>
      </c>
      <c r="K99" s="1">
        <v>24911.02713424656</v>
      </c>
      <c r="L99" s="1">
        <v>28214.26549041094</v>
      </c>
      <c r="M99" s="1" t="s">
        <v>152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29" x14ac:dyDescent="0.35">
      <c r="A100" s="1" t="s">
        <v>122</v>
      </c>
      <c r="B100" s="1" t="s">
        <v>123</v>
      </c>
      <c r="C100" s="1" t="s">
        <v>157</v>
      </c>
      <c r="D100" s="1">
        <v>4</v>
      </c>
      <c r="E100" s="1">
        <v>3.6259999999999999</v>
      </c>
      <c r="F100" s="1">
        <v>0.1101079452054793</v>
      </c>
      <c r="G100" s="1">
        <v>-5503.6319911748469</v>
      </c>
      <c r="H100" s="1">
        <v>-181241.8673580598</v>
      </c>
      <c r="I100" s="1">
        <v>183126.16959999999</v>
      </c>
      <c r="J100" s="1">
        <v>291906.16960000002</v>
      </c>
      <c r="K100" s="1">
        <v>24911.02713424656</v>
      </c>
      <c r="L100" s="1">
        <v>28214.26549041094</v>
      </c>
      <c r="M100" s="1" t="s">
        <v>152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29" x14ac:dyDescent="0.35">
      <c r="A101" s="1" t="s">
        <v>122</v>
      </c>
      <c r="B101" s="1" t="s">
        <v>123</v>
      </c>
      <c r="C101" s="1" t="s">
        <v>158</v>
      </c>
      <c r="D101" s="1">
        <v>4</v>
      </c>
      <c r="E101" s="1">
        <v>9.5460000000000012</v>
      </c>
      <c r="F101" s="1">
        <v>0.1101079452054793</v>
      </c>
      <c r="G101" s="1">
        <v>-2090.52688036874</v>
      </c>
      <c r="H101" s="1">
        <v>-181241.8673580598</v>
      </c>
      <c r="I101" s="1">
        <v>449526.16960000002</v>
      </c>
      <c r="J101" s="1">
        <v>735906.16960000014</v>
      </c>
      <c r="K101" s="1">
        <v>24911.02713424656</v>
      </c>
      <c r="L101" s="1">
        <v>28214.26549041094</v>
      </c>
      <c r="M101" s="1" t="s">
        <v>152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43.5" x14ac:dyDescent="0.35">
      <c r="A102" s="1" t="s">
        <v>128</v>
      </c>
      <c r="B102" s="1" t="s">
        <v>129</v>
      </c>
      <c r="C102" s="1" t="s">
        <v>151</v>
      </c>
      <c r="D102" s="1">
        <v>11</v>
      </c>
      <c r="E102" s="1">
        <v>18.111499999999999</v>
      </c>
      <c r="F102" s="1">
        <v>0.30277383561643789</v>
      </c>
      <c r="G102" s="1">
        <v>-8156.1779863622542</v>
      </c>
      <c r="H102" s="1">
        <v>-487890.96091888339</v>
      </c>
      <c r="I102" s="1">
        <v>962738.1176</v>
      </c>
      <c r="J102" s="1">
        <v>1506083.1176</v>
      </c>
      <c r="K102" s="1">
        <v>161345.4402027397</v>
      </c>
      <c r="L102" s="1">
        <v>170428.6552712328</v>
      </c>
      <c r="M102" s="1" t="s">
        <v>152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43.5" x14ac:dyDescent="0.35">
      <c r="A103" s="1" t="s">
        <v>128</v>
      </c>
      <c r="B103" s="1" t="s">
        <v>129</v>
      </c>
      <c r="C103" s="1" t="s">
        <v>153</v>
      </c>
      <c r="D103" s="1">
        <v>11</v>
      </c>
      <c r="E103" s="1">
        <v>18.111499999999999</v>
      </c>
      <c r="F103" s="1">
        <v>7.9998835616437947E-2</v>
      </c>
      <c r="G103" s="1">
        <v>-8156.1779863622542</v>
      </c>
      <c r="H103" s="1">
        <v>-1846534.595931628</v>
      </c>
      <c r="I103" s="1">
        <v>962738.1176</v>
      </c>
      <c r="J103" s="1">
        <v>1506083.1176</v>
      </c>
      <c r="K103" s="1">
        <v>151320.5652027397</v>
      </c>
      <c r="L103" s="1">
        <v>153720.5302712328</v>
      </c>
      <c r="M103" s="1" t="s">
        <v>152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29" x14ac:dyDescent="0.35">
      <c r="A104" s="1" t="s">
        <v>128</v>
      </c>
      <c r="B104" s="1" t="s">
        <v>129</v>
      </c>
      <c r="C104" s="1" t="s">
        <v>154</v>
      </c>
      <c r="D104" s="1">
        <v>11</v>
      </c>
      <c r="E104" s="1">
        <v>1.8314999999999999</v>
      </c>
      <c r="F104" s="1">
        <v>0.30277383561643789</v>
      </c>
      <c r="G104" s="1">
        <v>-80655.537865137841</v>
      </c>
      <c r="H104" s="1">
        <v>-487890.96091888339</v>
      </c>
      <c r="I104" s="1">
        <v>230138.1176</v>
      </c>
      <c r="J104" s="1">
        <v>285083.1176</v>
      </c>
      <c r="K104" s="1">
        <v>161345.4402027397</v>
      </c>
      <c r="L104" s="1">
        <v>170428.6552712328</v>
      </c>
      <c r="M104" s="1" t="s">
        <v>152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29" x14ac:dyDescent="0.35">
      <c r="A105" s="1" t="s">
        <v>128</v>
      </c>
      <c r="B105" s="1" t="s">
        <v>129</v>
      </c>
      <c r="C105" s="1" t="s">
        <v>155</v>
      </c>
      <c r="D105" s="1">
        <v>11</v>
      </c>
      <c r="E105" s="1">
        <v>9.9714999999999989</v>
      </c>
      <c r="F105" s="1">
        <v>0.30277383561643789</v>
      </c>
      <c r="G105" s="1">
        <v>-14814.282465025321</v>
      </c>
      <c r="H105" s="1">
        <v>-487890.96091888339</v>
      </c>
      <c r="I105" s="1">
        <v>596438.11759999988</v>
      </c>
      <c r="J105" s="1">
        <v>895583.11759999988</v>
      </c>
      <c r="K105" s="1">
        <v>161345.4402027397</v>
      </c>
      <c r="L105" s="1">
        <v>170428.6552712328</v>
      </c>
      <c r="M105" s="1" t="s">
        <v>152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29" x14ac:dyDescent="0.35">
      <c r="A106" s="1" t="s">
        <v>128</v>
      </c>
      <c r="B106" s="1" t="s">
        <v>129</v>
      </c>
      <c r="C106" s="1" t="s">
        <v>156</v>
      </c>
      <c r="D106" s="1">
        <v>11</v>
      </c>
      <c r="E106" s="1">
        <v>26.2515</v>
      </c>
      <c r="F106" s="1">
        <v>0.30277383561643789</v>
      </c>
      <c r="G106" s="1">
        <v>-5627.1305487305472</v>
      </c>
      <c r="H106" s="1">
        <v>-487890.96091888339</v>
      </c>
      <c r="I106" s="1">
        <v>1329038.1176</v>
      </c>
      <c r="J106" s="1">
        <v>2116583.1176</v>
      </c>
      <c r="K106" s="1">
        <v>161345.4402027397</v>
      </c>
      <c r="L106" s="1">
        <v>170428.6552712328</v>
      </c>
      <c r="M106" s="1" t="s">
        <v>152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29" x14ac:dyDescent="0.35">
      <c r="A107" s="1" t="s">
        <v>128</v>
      </c>
      <c r="B107" s="1" t="s">
        <v>129</v>
      </c>
      <c r="C107" s="1" t="s">
        <v>157</v>
      </c>
      <c r="D107" s="1">
        <v>11</v>
      </c>
      <c r="E107" s="1">
        <v>9.9714999999999989</v>
      </c>
      <c r="F107" s="1">
        <v>0.30277383561643789</v>
      </c>
      <c r="G107" s="1">
        <v>-14814.282465025321</v>
      </c>
      <c r="H107" s="1">
        <v>-487890.96091888339</v>
      </c>
      <c r="I107" s="1">
        <v>596438.11759999988</v>
      </c>
      <c r="J107" s="1">
        <v>895583.11759999988</v>
      </c>
      <c r="K107" s="1">
        <v>161345.4402027397</v>
      </c>
      <c r="L107" s="1">
        <v>170428.6552712328</v>
      </c>
      <c r="M107" s="1" t="s">
        <v>152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29" x14ac:dyDescent="0.35">
      <c r="A108" s="1" t="s">
        <v>128</v>
      </c>
      <c r="B108" s="1" t="s">
        <v>129</v>
      </c>
      <c r="C108" s="1" t="s">
        <v>158</v>
      </c>
      <c r="D108" s="1">
        <v>11</v>
      </c>
      <c r="E108" s="1">
        <v>26.2515</v>
      </c>
      <c r="F108" s="1">
        <v>0.30277383561643789</v>
      </c>
      <c r="G108" s="1">
        <v>-5627.1305487305472</v>
      </c>
      <c r="H108" s="1">
        <v>-487890.96091888339</v>
      </c>
      <c r="I108" s="1">
        <v>1329038.1176</v>
      </c>
      <c r="J108" s="1">
        <v>2116583.1176</v>
      </c>
      <c r="K108" s="1">
        <v>161345.4402027397</v>
      </c>
      <c r="L108" s="1">
        <v>170428.6552712328</v>
      </c>
      <c r="M108" s="1" t="s">
        <v>152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43.5" x14ac:dyDescent="0.35">
      <c r="A109" s="1" t="s">
        <v>130</v>
      </c>
      <c r="B109" s="1" t="s">
        <v>131</v>
      </c>
      <c r="C109" s="1" t="s">
        <v>151</v>
      </c>
      <c r="D109" s="1">
        <v>11</v>
      </c>
      <c r="E109" s="1">
        <v>18.111499999999999</v>
      </c>
      <c r="F109" s="1">
        <v>0.30277383561643789</v>
      </c>
      <c r="G109" s="1">
        <v>-8156.1779863622542</v>
      </c>
      <c r="H109" s="1">
        <v>-487890.96091888339</v>
      </c>
      <c r="I109" s="1">
        <v>962738.1176</v>
      </c>
      <c r="J109" s="1">
        <v>1506083.1176</v>
      </c>
      <c r="K109" s="1">
        <v>161345.4402027397</v>
      </c>
      <c r="L109" s="1">
        <v>170428.6552712328</v>
      </c>
      <c r="M109" s="1" t="s">
        <v>152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43.5" x14ac:dyDescent="0.35">
      <c r="A110" s="1" t="s">
        <v>130</v>
      </c>
      <c r="B110" s="1" t="s">
        <v>131</v>
      </c>
      <c r="C110" s="1" t="s">
        <v>153</v>
      </c>
      <c r="D110" s="1">
        <v>11</v>
      </c>
      <c r="E110" s="1">
        <v>18.111499999999999</v>
      </c>
      <c r="F110" s="1">
        <v>7.9998835616437947E-2</v>
      </c>
      <c r="G110" s="1">
        <v>-8156.1779863622542</v>
      </c>
      <c r="H110" s="1">
        <v>-1846534.595931628</v>
      </c>
      <c r="I110" s="1">
        <v>962738.1176</v>
      </c>
      <c r="J110" s="1">
        <v>1506083.1176</v>
      </c>
      <c r="K110" s="1">
        <v>151320.5652027397</v>
      </c>
      <c r="L110" s="1">
        <v>153720.5302712328</v>
      </c>
      <c r="M110" s="1" t="s">
        <v>152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29" x14ac:dyDescent="0.35">
      <c r="A111" s="1" t="s">
        <v>130</v>
      </c>
      <c r="B111" s="1" t="s">
        <v>131</v>
      </c>
      <c r="C111" s="1" t="s">
        <v>154</v>
      </c>
      <c r="D111" s="1">
        <v>11</v>
      </c>
      <c r="E111" s="1">
        <v>1.8314999999999999</v>
      </c>
      <c r="F111" s="1">
        <v>0.30277383561643789</v>
      </c>
      <c r="G111" s="1">
        <v>-80655.537865137841</v>
      </c>
      <c r="H111" s="1">
        <v>-487890.96091888339</v>
      </c>
      <c r="I111" s="1">
        <v>230138.1176</v>
      </c>
      <c r="J111" s="1">
        <v>285083.1176</v>
      </c>
      <c r="K111" s="1">
        <v>161345.4402027397</v>
      </c>
      <c r="L111" s="1">
        <v>170428.6552712328</v>
      </c>
      <c r="M111" s="1" t="s">
        <v>152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29" x14ac:dyDescent="0.35">
      <c r="A112" s="1" t="s">
        <v>130</v>
      </c>
      <c r="B112" s="1" t="s">
        <v>131</v>
      </c>
      <c r="C112" s="1" t="s">
        <v>155</v>
      </c>
      <c r="D112" s="1">
        <v>11</v>
      </c>
      <c r="E112" s="1">
        <v>9.9714999999999989</v>
      </c>
      <c r="F112" s="1">
        <v>0.30277383561643789</v>
      </c>
      <c r="G112" s="1">
        <v>-14814.282465025321</v>
      </c>
      <c r="H112" s="1">
        <v>-487890.96091888339</v>
      </c>
      <c r="I112" s="1">
        <v>596438.11759999988</v>
      </c>
      <c r="J112" s="1">
        <v>895583.11759999988</v>
      </c>
      <c r="K112" s="1">
        <v>161345.4402027397</v>
      </c>
      <c r="L112" s="1">
        <v>170428.6552712328</v>
      </c>
      <c r="M112" s="1" t="s">
        <v>152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29" x14ac:dyDescent="0.35">
      <c r="A113" s="1" t="s">
        <v>130</v>
      </c>
      <c r="B113" s="1" t="s">
        <v>131</v>
      </c>
      <c r="C113" s="1" t="s">
        <v>156</v>
      </c>
      <c r="D113" s="1">
        <v>11</v>
      </c>
      <c r="E113" s="1">
        <v>26.2515</v>
      </c>
      <c r="F113" s="1">
        <v>0.30277383561643789</v>
      </c>
      <c r="G113" s="1">
        <v>-5627.1305487305472</v>
      </c>
      <c r="H113" s="1">
        <v>-487890.96091888339</v>
      </c>
      <c r="I113" s="1">
        <v>1329038.1176</v>
      </c>
      <c r="J113" s="1">
        <v>2116583.1176</v>
      </c>
      <c r="K113" s="1">
        <v>161345.4402027397</v>
      </c>
      <c r="L113" s="1">
        <v>170428.6552712328</v>
      </c>
      <c r="M113" s="1" t="s">
        <v>152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29" x14ac:dyDescent="0.35">
      <c r="A114" s="1" t="s">
        <v>130</v>
      </c>
      <c r="B114" s="1" t="s">
        <v>131</v>
      </c>
      <c r="C114" s="1" t="s">
        <v>157</v>
      </c>
      <c r="D114" s="1">
        <v>11</v>
      </c>
      <c r="E114" s="1">
        <v>9.9714999999999989</v>
      </c>
      <c r="F114" s="1">
        <v>0.30277383561643789</v>
      </c>
      <c r="G114" s="1">
        <v>-14814.282465025321</v>
      </c>
      <c r="H114" s="1">
        <v>-487890.96091888339</v>
      </c>
      <c r="I114" s="1">
        <v>596438.11759999988</v>
      </c>
      <c r="J114" s="1">
        <v>895583.11759999988</v>
      </c>
      <c r="K114" s="1">
        <v>161345.4402027397</v>
      </c>
      <c r="L114" s="1">
        <v>170428.6552712328</v>
      </c>
      <c r="M114" s="1" t="s">
        <v>152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29" x14ac:dyDescent="0.35">
      <c r="A115" s="1" t="s">
        <v>130</v>
      </c>
      <c r="B115" s="1" t="s">
        <v>131</v>
      </c>
      <c r="C115" s="1" t="s">
        <v>158</v>
      </c>
      <c r="D115" s="1">
        <v>11</v>
      </c>
      <c r="E115" s="1">
        <v>26.2515</v>
      </c>
      <c r="F115" s="1">
        <v>0.30277383561643789</v>
      </c>
      <c r="G115" s="1">
        <v>-5627.1305487305472</v>
      </c>
      <c r="H115" s="1">
        <v>-487890.96091888339</v>
      </c>
      <c r="I115" s="1">
        <v>1329038.1176</v>
      </c>
      <c r="J115" s="1">
        <v>2116583.1176</v>
      </c>
      <c r="K115" s="1">
        <v>161345.4402027397</v>
      </c>
      <c r="L115" s="1">
        <v>170428.6552712328</v>
      </c>
      <c r="M115" s="1" t="s">
        <v>152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43.5" x14ac:dyDescent="0.35">
      <c r="A116" s="1" t="s">
        <v>132</v>
      </c>
      <c r="B116" s="1" t="s">
        <v>133</v>
      </c>
      <c r="C116" s="1" t="s">
        <v>151</v>
      </c>
      <c r="D116" s="1">
        <v>12</v>
      </c>
      <c r="E116" s="1">
        <v>19.757999999999999</v>
      </c>
      <c r="F116" s="1">
        <v>0.33032383561643791</v>
      </c>
      <c r="G116" s="1">
        <v>-8484.0446199008002</v>
      </c>
      <c r="H116" s="1">
        <v>-507464.90421189071</v>
      </c>
      <c r="I116" s="1">
        <v>1056737.7535999999</v>
      </c>
      <c r="J116" s="1">
        <v>1649477.7535999999</v>
      </c>
      <c r="K116" s="1">
        <v>182492.3262027397</v>
      </c>
      <c r="L116" s="1">
        <v>192402.0412712328</v>
      </c>
      <c r="M116" s="1" t="s">
        <v>152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43.5" x14ac:dyDescent="0.35">
      <c r="A117" s="1" t="s">
        <v>132</v>
      </c>
      <c r="B117" s="1" t="s">
        <v>133</v>
      </c>
      <c r="C117" s="1" t="s">
        <v>153</v>
      </c>
      <c r="D117" s="1">
        <v>12</v>
      </c>
      <c r="E117" s="1">
        <v>19.757999999999999</v>
      </c>
      <c r="F117" s="1">
        <v>0.1241738356164379</v>
      </c>
      <c r="G117" s="1">
        <v>-8484.0446199008002</v>
      </c>
      <c r="H117" s="1">
        <v>-1349944.235577835</v>
      </c>
      <c r="I117" s="1">
        <v>1056737.7535999999</v>
      </c>
      <c r="J117" s="1">
        <v>1649477.7535999999</v>
      </c>
      <c r="K117" s="1">
        <v>173215.5762027397</v>
      </c>
      <c r="L117" s="1">
        <v>176940.7912712328</v>
      </c>
      <c r="M117" s="1" t="s">
        <v>152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29" x14ac:dyDescent="0.35">
      <c r="A118" s="1" t="s">
        <v>132</v>
      </c>
      <c r="B118" s="1" t="s">
        <v>133</v>
      </c>
      <c r="C118" s="1" t="s">
        <v>154</v>
      </c>
      <c r="D118" s="1">
        <v>12</v>
      </c>
      <c r="E118" s="1">
        <v>1.998</v>
      </c>
      <c r="F118" s="1">
        <v>0.33032383561643791</v>
      </c>
      <c r="G118" s="1">
        <v>-83897.774574574563</v>
      </c>
      <c r="H118" s="1">
        <v>-507464.90421189071</v>
      </c>
      <c r="I118" s="1">
        <v>257537.7536</v>
      </c>
      <c r="J118" s="1">
        <v>317477.75360000011</v>
      </c>
      <c r="K118" s="1">
        <v>182492.3262027397</v>
      </c>
      <c r="L118" s="1">
        <v>192402.0412712328</v>
      </c>
      <c r="M118" s="1" t="s">
        <v>152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29" x14ac:dyDescent="0.35">
      <c r="A119" s="1" t="s">
        <v>132</v>
      </c>
      <c r="B119" s="1" t="s">
        <v>133</v>
      </c>
      <c r="C119" s="1" t="s">
        <v>155</v>
      </c>
      <c r="D119" s="1">
        <v>12</v>
      </c>
      <c r="E119" s="1">
        <v>10.878</v>
      </c>
      <c r="F119" s="1">
        <v>0.33032383561643791</v>
      </c>
      <c r="G119" s="1">
        <v>-15409.795330023901</v>
      </c>
      <c r="H119" s="1">
        <v>-507464.90421189071</v>
      </c>
      <c r="I119" s="1">
        <v>657137.75359999994</v>
      </c>
      <c r="J119" s="1">
        <v>983477.75359999994</v>
      </c>
      <c r="K119" s="1">
        <v>182492.3262027397</v>
      </c>
      <c r="L119" s="1">
        <v>192402.0412712328</v>
      </c>
      <c r="M119" s="1" t="s">
        <v>152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29" x14ac:dyDescent="0.35">
      <c r="A120" s="1" t="s">
        <v>132</v>
      </c>
      <c r="B120" s="1" t="s">
        <v>133</v>
      </c>
      <c r="C120" s="1" t="s">
        <v>156</v>
      </c>
      <c r="D120" s="1">
        <v>12</v>
      </c>
      <c r="E120" s="1">
        <v>28.638000000000002</v>
      </c>
      <c r="F120" s="1">
        <v>0.33032383561643791</v>
      </c>
      <c r="G120" s="1">
        <v>-5853.3331098540402</v>
      </c>
      <c r="H120" s="1">
        <v>-507464.90421189071</v>
      </c>
      <c r="I120" s="1">
        <v>1456337.7535999999</v>
      </c>
      <c r="J120" s="1">
        <v>2315477.7535999999</v>
      </c>
      <c r="K120" s="1">
        <v>182492.3262027397</v>
      </c>
      <c r="L120" s="1">
        <v>192402.0412712328</v>
      </c>
      <c r="M120" s="1" t="s">
        <v>152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29" x14ac:dyDescent="0.35">
      <c r="A121" s="1" t="s">
        <v>132</v>
      </c>
      <c r="B121" s="1" t="s">
        <v>133</v>
      </c>
      <c r="C121" s="1" t="s">
        <v>157</v>
      </c>
      <c r="D121" s="1">
        <v>12</v>
      </c>
      <c r="E121" s="1">
        <v>10.878</v>
      </c>
      <c r="F121" s="1">
        <v>0.33032383561643791</v>
      </c>
      <c r="G121" s="1">
        <v>-15409.795330023901</v>
      </c>
      <c r="H121" s="1">
        <v>-507464.90421189071</v>
      </c>
      <c r="I121" s="1">
        <v>657137.75359999994</v>
      </c>
      <c r="J121" s="1">
        <v>983477.75359999994</v>
      </c>
      <c r="K121" s="1">
        <v>182492.3262027397</v>
      </c>
      <c r="L121" s="1">
        <v>192402.0412712328</v>
      </c>
      <c r="M121" s="1" t="s">
        <v>152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29" x14ac:dyDescent="0.35">
      <c r="A122" s="1" t="s">
        <v>132</v>
      </c>
      <c r="B122" s="1" t="s">
        <v>133</v>
      </c>
      <c r="C122" s="1" t="s">
        <v>158</v>
      </c>
      <c r="D122" s="1">
        <v>12</v>
      </c>
      <c r="E122" s="1">
        <v>28.638000000000002</v>
      </c>
      <c r="F122" s="1">
        <v>0.33032383561643791</v>
      </c>
      <c r="G122" s="1">
        <v>-5853.3331098540393</v>
      </c>
      <c r="H122" s="1">
        <v>-507464.90421189071</v>
      </c>
      <c r="I122" s="1">
        <v>1456337.7535999999</v>
      </c>
      <c r="J122" s="1">
        <v>2315477.7535999999</v>
      </c>
      <c r="K122" s="1">
        <v>182492.3262027397</v>
      </c>
      <c r="L122" s="1">
        <v>192402.0412712328</v>
      </c>
      <c r="M122" s="1" t="s">
        <v>152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9" width="19" customWidth="1"/>
    <col min="10" max="10" width="22" customWidth="1"/>
    <col min="11" max="11" width="24" customWidth="1"/>
    <col min="12" max="12" width="23" customWidth="1"/>
    <col min="13" max="13" width="19" customWidth="1"/>
    <col min="14" max="14" width="20" customWidth="1"/>
    <col min="15" max="15" width="24" customWidth="1"/>
    <col min="16" max="16" width="28" customWidth="1"/>
    <col min="17" max="17" width="22" customWidth="1"/>
    <col min="18" max="19" width="44" customWidth="1"/>
    <col min="20" max="20" width="41" customWidth="1"/>
    <col min="21" max="22" width="26" customWidth="1"/>
    <col min="23" max="26" width="42" customWidth="1"/>
    <col min="27" max="27" width="18" customWidth="1"/>
    <col min="28" max="30" width="41" customWidth="1"/>
    <col min="31" max="31" width="22" customWidth="1"/>
    <col min="32" max="32" width="23" customWidth="1"/>
    <col min="33" max="33" width="25" customWidth="1"/>
    <col min="34" max="34" width="27" customWidth="1"/>
    <col min="35" max="35" width="23" customWidth="1"/>
    <col min="36" max="36" width="24" customWidth="1"/>
    <col min="37" max="37" width="42" customWidth="1"/>
    <col min="38" max="38" width="44" customWidth="1"/>
    <col min="39" max="39" width="43" customWidth="1"/>
    <col min="40" max="40" width="22" customWidth="1"/>
    <col min="41" max="42" width="44" customWidth="1"/>
    <col min="43" max="43" width="14" customWidth="1"/>
    <col min="44" max="44" width="26" customWidth="1"/>
    <col min="45" max="46" width="22" customWidth="1"/>
    <col min="47" max="50" width="44" customWidth="1"/>
    <col min="51" max="51" width="42" customWidth="1"/>
    <col min="52" max="52" width="41" customWidth="1"/>
    <col min="53" max="54" width="44" customWidth="1"/>
  </cols>
  <sheetData>
    <row r="1" spans="1:54" x14ac:dyDescent="0.35">
      <c r="A1" s="2" t="s">
        <v>159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102</v>
      </c>
      <c r="S1" s="2" t="s">
        <v>103</v>
      </c>
      <c r="T1" s="2" t="s">
        <v>144</v>
      </c>
      <c r="U1" s="2" t="s">
        <v>169</v>
      </c>
      <c r="V1" s="2" t="s">
        <v>170</v>
      </c>
      <c r="W1" s="2" t="s">
        <v>171</v>
      </c>
      <c r="X1" s="2" t="s">
        <v>172</v>
      </c>
      <c r="Y1" s="2" t="s">
        <v>173</v>
      </c>
      <c r="Z1" s="2" t="s">
        <v>174</v>
      </c>
      <c r="AA1" s="2" t="s">
        <v>105</v>
      </c>
      <c r="AB1" s="2" t="s">
        <v>104</v>
      </c>
      <c r="AC1" s="2" t="s">
        <v>147</v>
      </c>
      <c r="AD1" s="2" t="s">
        <v>148</v>
      </c>
      <c r="AE1" s="2" t="s">
        <v>106</v>
      </c>
      <c r="AF1" s="2" t="s">
        <v>175</v>
      </c>
      <c r="AG1" s="2" t="s">
        <v>176</v>
      </c>
      <c r="AH1" s="2" t="s">
        <v>177</v>
      </c>
      <c r="AI1" s="2" t="s">
        <v>178</v>
      </c>
      <c r="AJ1" s="2" t="s">
        <v>113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179</v>
      </c>
      <c r="AP1" s="2" t="s">
        <v>180</v>
      </c>
      <c r="AQ1" s="2" t="s">
        <v>181</v>
      </c>
      <c r="AR1" s="2" t="s">
        <v>112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  <c r="AY1" s="2" t="s">
        <v>182</v>
      </c>
      <c r="AZ1" s="2" t="s">
        <v>183</v>
      </c>
      <c r="BA1" s="2" t="s">
        <v>184</v>
      </c>
      <c r="BB1" s="2" t="s">
        <v>185</v>
      </c>
    </row>
    <row r="2" spans="1:54" x14ac:dyDescent="0.35">
      <c r="A2" s="1" t="s">
        <v>186</v>
      </c>
      <c r="B2" s="5" t="str">
        <f>Model_Outputs!C3</f>
        <v>IGRA</v>
      </c>
      <c r="C2" s="5" t="str">
        <f>Model_Outputs!D3</f>
        <v>3HP</v>
      </c>
      <c r="D2" s="5">
        <f>Model_Outputs!E3</f>
        <v>1500</v>
      </c>
      <c r="E2" s="5">
        <f>Model_Outputs!F3</f>
        <v>2000</v>
      </c>
      <c r="F2" s="5">
        <f>Model_Outputs!G3</f>
        <v>0.3</v>
      </c>
      <c r="G2" s="5">
        <f>Model_Outputs!H3</f>
        <v>2</v>
      </c>
      <c r="H2" s="5">
        <f>Model_Outputs!I3</f>
        <v>20</v>
      </c>
      <c r="I2" s="5">
        <f>Model_Outputs!J3</f>
        <v>450</v>
      </c>
      <c r="J2" s="5">
        <f>Model_Outputs!K3</f>
        <v>32</v>
      </c>
      <c r="K2" s="5">
        <f>Model_Outputs!L3</f>
        <v>25</v>
      </c>
      <c r="L2" s="5">
        <f>Model_Outputs!M3</f>
        <v>7</v>
      </c>
      <c r="M2" s="5">
        <f>Model_Outputs!N3</f>
        <v>16</v>
      </c>
      <c r="N2" s="5">
        <f>Model_Outputs!O3</f>
        <v>4</v>
      </c>
      <c r="O2" s="5">
        <f>Model_Outputs!P3</f>
        <v>37</v>
      </c>
      <c r="P2" s="5">
        <f>Model_Outputs!Q3</f>
        <v>33</v>
      </c>
      <c r="Q2" s="5">
        <f>Model_Outputs!R3</f>
        <v>0.10526315789473679</v>
      </c>
      <c r="R2" s="5">
        <f>IFERROR(I2*IF(B2="IGRA",Inputs_Assumptions!$B$2,Inputs_Assumptions!$B$3),"")</f>
        <v>51066</v>
      </c>
      <c r="S2" s="5">
        <f>IFERROR(J2*IF(C2="3HP",Inputs_Assumptions!$B$4,IF(C2="4R",Inputs_Assumptions!$B$5,0)),"")</f>
        <v>5296.2304000000004</v>
      </c>
      <c r="T2" s="5">
        <f>IFERROR(L2*Inputs_Assumptions!$B$9,"")</f>
        <v>0</v>
      </c>
      <c r="U2" s="5">
        <f>Inputs_Assumptions!$B$7</f>
        <v>1000000</v>
      </c>
      <c r="V2" s="5">
        <f>Inputs_Assumptions!$B$8</f>
        <v>0</v>
      </c>
      <c r="W2" s="5">
        <f>IFERROR(I2*Inputs_Assumptions!$B$10,"")</f>
        <v>0</v>
      </c>
      <c r="X2" s="5">
        <f>IFERROR(J2*Inputs_Assumptions!$B$11,"")</f>
        <v>0</v>
      </c>
      <c r="Y2" s="5">
        <f>IFERROR(J2*Inputs_Assumptions!$B$12,"")</f>
        <v>0</v>
      </c>
      <c r="Z2" s="5">
        <f>IFERROR(I2*Inputs_Assumptions!$B$13,"")</f>
        <v>0</v>
      </c>
      <c r="AA2" s="5">
        <f>SUM(R2:Z2)</f>
        <v>1056362.2304</v>
      </c>
      <c r="AB2" s="5">
        <f>IFERROR(N2*Inputs_Assumptions!$B$6,"")</f>
        <v>76318.399999999994</v>
      </c>
      <c r="AC2" s="5">
        <f>IFERROR(O2*Inputs_Assumptions!$B$6,"")</f>
        <v>705945.2</v>
      </c>
      <c r="AD2" s="5">
        <f>IFERROR(P2*Inputs_Assumptions!$B$6,"")</f>
        <v>629626.79999999993</v>
      </c>
      <c r="AE2" s="5">
        <f>IFERROR(AA2-AB2,"")</f>
        <v>980043.83039999998</v>
      </c>
      <c r="AF2" s="5">
        <f>IFERROR(AA2/I2,"")</f>
        <v>2347.4716231111111</v>
      </c>
      <c r="AG2" s="5">
        <f>IFERROR(AA2/J2,"")</f>
        <v>33011.3197</v>
      </c>
      <c r="AH2" s="5">
        <f>IFERROR(AA2/K2,"")</f>
        <v>42254.489216000002</v>
      </c>
      <c r="AI2" s="5">
        <f>IFERROR(AE2/M2,"")</f>
        <v>61252.739399999999</v>
      </c>
      <c r="AJ2" s="5">
        <f>IFERROR(AE2/N2,"")</f>
        <v>245010.95759999999</v>
      </c>
      <c r="AK2" s="5">
        <f>IFERROR(N2*Inputs_Assumptions!$B$16,"")</f>
        <v>0.29599999999999999</v>
      </c>
      <c r="AL2" s="5">
        <f>IFERROR(N2*Inputs_Assumptions!$B$14*Inputs_Assumptions!$B$15,"")</f>
        <v>0.66600000000000004</v>
      </c>
      <c r="AM2" s="5">
        <f>IFERROR(AK2*Inputs_Assumptions!$B$17,"")</f>
        <v>5.92</v>
      </c>
      <c r="AN2" s="5">
        <f>IFERROR(AL2+AM2,"")</f>
        <v>6.5860000000000003</v>
      </c>
      <c r="AO2" s="5">
        <f>IFERROR(N2*(Inputs_Assumptions!$B$18-Inputs_Assumptions!$B$19)*Inputs_Assumptions!$B$15,"")</f>
        <v>0.11019999999999985</v>
      </c>
      <c r="AP2" s="5">
        <f>IFERROR(J2*Inputs_Assumptions!$B$22*IF(C2="3HP",0.25,IF(C2="4R",4/12,0)),"")</f>
        <v>0</v>
      </c>
      <c r="AQ2" s="5">
        <f>0</f>
        <v>0</v>
      </c>
      <c r="AR2" s="5">
        <f>IFERROR(AO2-AP2-AQ2,"")</f>
        <v>0.11019999999999985</v>
      </c>
      <c r="AS2" s="5">
        <f>IFERROR(AE2/AN2,"")</f>
        <v>148807.14096568478</v>
      </c>
      <c r="AT2" s="5">
        <f>IFERROR(AE2/AR2,"")</f>
        <v>8893319.6950998306</v>
      </c>
      <c r="AU2" s="5">
        <f>IFERROR(AN2*Inputs_Assumptions!$B$23-AE2,"")</f>
        <v>-683673.83039999998</v>
      </c>
      <c r="AV2" s="5">
        <f>IFERROR(AN2*Inputs_Assumptions!$B$24-AE2,"")</f>
        <v>-486093.83039999998</v>
      </c>
      <c r="AW2" s="5">
        <f>IFERROR(AR2*Inputs_Assumptions!$B$23-AE2,"")</f>
        <v>-975084.83039999998</v>
      </c>
      <c r="AX2" s="5">
        <f>IFERROR(AR2*Inputs_Assumptions!$B$24-AE2,"")</f>
        <v>-971778.83039999998</v>
      </c>
      <c r="AY2" s="5">
        <f>IFERROR(AA2/Inputs_Assumptions!$B$6,"")</f>
        <v>55.366057485481882</v>
      </c>
      <c r="AZ2" s="5">
        <f>IFERROR(IF(AE2&lt;0,-AE2,0),"")</f>
        <v>0</v>
      </c>
      <c r="BA2" s="5">
        <f>IFERROR(AY2/I2,"")</f>
        <v>0.12303568330107084</v>
      </c>
      <c r="BB2" s="5">
        <f>IFERROR(AY2/J2,"")</f>
        <v>1.7301892964213088</v>
      </c>
    </row>
    <row r="3" spans="1:54" x14ac:dyDescent="0.35">
      <c r="A3" s="1" t="s">
        <v>187</v>
      </c>
      <c r="B3" s="5" t="str">
        <f>Model_Outputs!C4</f>
        <v>IGRA</v>
      </c>
      <c r="C3" s="5" t="str">
        <f>Model_Outputs!D4</f>
        <v>3HP</v>
      </c>
      <c r="D3" s="5">
        <f>Model_Outputs!E4</f>
        <v>1500</v>
      </c>
      <c r="E3" s="5">
        <f>Model_Outputs!F4</f>
        <v>2000</v>
      </c>
      <c r="F3" s="5">
        <f>Model_Outputs!G4</f>
        <v>0.3</v>
      </c>
      <c r="G3" s="5">
        <f>Model_Outputs!H4</f>
        <v>2</v>
      </c>
      <c r="H3" s="5">
        <f>Model_Outputs!I4</f>
        <v>20</v>
      </c>
      <c r="I3" s="5">
        <f>Model_Outputs!J4</f>
        <v>450</v>
      </c>
      <c r="J3" s="5">
        <f>Model_Outputs!K4</f>
        <v>67</v>
      </c>
      <c r="K3" s="5">
        <f>Model_Outputs!L4</f>
        <v>54</v>
      </c>
      <c r="L3" s="5">
        <f>Model_Outputs!M4</f>
        <v>6</v>
      </c>
      <c r="M3" s="5">
        <f>Model_Outputs!N4</f>
        <v>40</v>
      </c>
      <c r="N3" s="5">
        <f>Model_Outputs!O4</f>
        <v>11</v>
      </c>
      <c r="O3" s="5">
        <f>Model_Outputs!P4</f>
        <v>37</v>
      </c>
      <c r="P3" s="5">
        <f>Model_Outputs!Q4</f>
        <v>26</v>
      </c>
      <c r="Q3" s="5">
        <f>Model_Outputs!R4</f>
        <v>0.30434782608695649</v>
      </c>
      <c r="R3" s="5">
        <f>IFERROR(I3*IF(B3="IGRA",Inputs_Assumptions!$B$2,Inputs_Assumptions!$B$3),"")</f>
        <v>51066</v>
      </c>
      <c r="S3" s="5">
        <f>IFERROR(J3*IF(C3="3HP",Inputs_Assumptions!$B$4,IF(C3="4R",Inputs_Assumptions!$B$5,0)),"")</f>
        <v>11088.982400000001</v>
      </c>
      <c r="T3" s="5">
        <f>IFERROR(L3*Inputs_Assumptions!$B$9,"")</f>
        <v>0</v>
      </c>
      <c r="U3" s="5">
        <f>Inputs_Assumptions!$B$7</f>
        <v>1000000</v>
      </c>
      <c r="V3" s="5">
        <f>Inputs_Assumptions!$B$8</f>
        <v>0</v>
      </c>
      <c r="W3" s="5">
        <f>IFERROR(I3*Inputs_Assumptions!$B$10,"")</f>
        <v>0</v>
      </c>
      <c r="X3" s="5">
        <f>IFERROR(J3*Inputs_Assumptions!$B$11,"")</f>
        <v>0</v>
      </c>
      <c r="Y3" s="5">
        <f>IFERROR(J3*Inputs_Assumptions!$B$12,"")</f>
        <v>0</v>
      </c>
      <c r="Z3" s="5">
        <f>IFERROR(I3*Inputs_Assumptions!$B$13,"")</f>
        <v>0</v>
      </c>
      <c r="AA3" s="5">
        <f>SUM(R3:Z3)</f>
        <v>1062154.9824000001</v>
      </c>
      <c r="AB3" s="5">
        <f>IFERROR(N3*Inputs_Assumptions!$B$6,"")</f>
        <v>209875.59999999998</v>
      </c>
      <c r="AC3" s="5">
        <f>IFERROR(O3*Inputs_Assumptions!$B$6,"")</f>
        <v>705945.2</v>
      </c>
      <c r="AD3" s="5">
        <f>IFERROR(P3*Inputs_Assumptions!$B$6,"")</f>
        <v>496069.6</v>
      </c>
      <c r="AE3" s="5">
        <f>IFERROR(AA3-AB3,"")</f>
        <v>852279.38240000012</v>
      </c>
      <c r="AF3" s="5">
        <f>IFERROR(AA3/I3,"")</f>
        <v>2360.3444053333337</v>
      </c>
      <c r="AG3" s="5">
        <f>IFERROR(AA3/J3,"")</f>
        <v>15853.059438805971</v>
      </c>
      <c r="AH3" s="5">
        <f>IFERROR(AA3/K3,"")</f>
        <v>19669.536711111112</v>
      </c>
      <c r="AI3" s="5">
        <f>IFERROR(AE3/M3,"")</f>
        <v>21306.984560000004</v>
      </c>
      <c r="AJ3" s="5">
        <f>IFERROR(AE3/N3,"")</f>
        <v>77479.943854545461</v>
      </c>
      <c r="AK3" s="5">
        <f>IFERROR(N3*Inputs_Assumptions!$B$16,"")</f>
        <v>0.81399999999999995</v>
      </c>
      <c r="AL3" s="5">
        <f>IFERROR(N3*Inputs_Assumptions!$B$14*Inputs_Assumptions!$B$15,"")</f>
        <v>1.8315000000000001</v>
      </c>
      <c r="AM3" s="5">
        <f>IFERROR(AK3*Inputs_Assumptions!$B$17,"")</f>
        <v>16.279999999999998</v>
      </c>
      <c r="AN3" s="5">
        <f>IFERROR(AL3+AM3,"")</f>
        <v>18.111499999999999</v>
      </c>
      <c r="AO3" s="5">
        <f>IFERROR(N3*(Inputs_Assumptions!$B$18-Inputs_Assumptions!$B$19)*Inputs_Assumptions!$B$15,"")</f>
        <v>0.3030499999999996</v>
      </c>
      <c r="AP3" s="5">
        <f>IFERROR(J3*Inputs_Assumptions!$B$22*IF(C3="3HP",0.25,IF(C3="4R",4/12,0)),"")</f>
        <v>0</v>
      </c>
      <c r="AQ3" s="5">
        <f>0</f>
        <v>0</v>
      </c>
      <c r="AR3" s="5">
        <f>IFERROR(AO3-AP3-AQ3,"")</f>
        <v>0.3030499999999996</v>
      </c>
      <c r="AS3" s="5">
        <f>IFERROR(AE3/AN3,"")</f>
        <v>47057.360373243529</v>
      </c>
      <c r="AT3" s="5">
        <f>IFERROR(AE3/AR3,"")</f>
        <v>2812339.1598746125</v>
      </c>
      <c r="AU3" s="5">
        <f>IFERROR(AN3*Inputs_Assumptions!$B$23-AE3,"")</f>
        <v>-37261.882400000119</v>
      </c>
      <c r="AV3" s="5">
        <f>IFERROR(AN3*Inputs_Assumptions!$B$24-AE3,"")</f>
        <v>506083.11759999988</v>
      </c>
      <c r="AW3" s="5">
        <f>IFERROR(AR3*Inputs_Assumptions!$B$23-AE3,"")</f>
        <v>-838642.13240000012</v>
      </c>
      <c r="AX3" s="5">
        <f>IFERROR(AR3*Inputs_Assumptions!$B$24-AE3,"")</f>
        <v>-829550.63240000012</v>
      </c>
      <c r="AY3" s="5">
        <f>IFERROR(AA3/Inputs_Assumptions!$B$6,"")</f>
        <v>55.669667204763215</v>
      </c>
      <c r="AZ3" s="5">
        <f>IFERROR(IF(AE3&lt;0,-AE3,0),"")</f>
        <v>0</v>
      </c>
      <c r="BA3" s="5">
        <f>IFERROR(AY3/I3,"")</f>
        <v>0.12371037156614048</v>
      </c>
      <c r="BB3" s="5">
        <f>IFERROR(AY3/J3,"")</f>
        <v>0.83089055529497335</v>
      </c>
    </row>
    <row r="4" spans="1:54" x14ac:dyDescent="0.35">
      <c r="A4" s="1" t="s">
        <v>188</v>
      </c>
      <c r="B4" s="5" t="str">
        <f>Model_Outputs!C5</f>
        <v>IGRA</v>
      </c>
      <c r="C4" s="5" t="str">
        <f>Model_Outputs!D5</f>
        <v>3HP</v>
      </c>
      <c r="D4" s="5">
        <f>Model_Outputs!E5</f>
        <v>1500</v>
      </c>
      <c r="E4" s="5">
        <f>Model_Outputs!F5</f>
        <v>2000</v>
      </c>
      <c r="F4" s="5">
        <f>Model_Outputs!G5</f>
        <v>0.3</v>
      </c>
      <c r="G4" s="5">
        <f>Model_Outputs!H5</f>
        <v>2</v>
      </c>
      <c r="H4" s="5">
        <f>Model_Outputs!I5</f>
        <v>20</v>
      </c>
      <c r="I4" s="5">
        <f>Model_Outputs!J5</f>
        <v>450</v>
      </c>
      <c r="J4" s="5">
        <f>Model_Outputs!K5</f>
        <v>67</v>
      </c>
      <c r="K4" s="5">
        <f>Model_Outputs!L5</f>
        <v>54</v>
      </c>
      <c r="L4" s="5">
        <f>Model_Outputs!M5</f>
        <v>6</v>
      </c>
      <c r="M4" s="5">
        <f>Model_Outputs!N5</f>
        <v>40</v>
      </c>
      <c r="N4" s="5">
        <f>Model_Outputs!O5</f>
        <v>11</v>
      </c>
      <c r="O4" s="5">
        <f>Model_Outputs!P5</f>
        <v>37</v>
      </c>
      <c r="P4" s="5">
        <f>Model_Outputs!Q5</f>
        <v>26</v>
      </c>
      <c r="Q4" s="5">
        <f>Model_Outputs!R5</f>
        <v>0.29729729729729731</v>
      </c>
      <c r="R4" s="5">
        <f>IFERROR(I4*IF(B4="IGRA",Inputs_Assumptions!$B$2,Inputs_Assumptions!$B$3),"")</f>
        <v>51066</v>
      </c>
      <c r="S4" s="5">
        <f>IFERROR(J4*IF(C4="3HP",Inputs_Assumptions!$B$4,IF(C4="4R",Inputs_Assumptions!$B$5,0)),"")</f>
        <v>11088.982400000001</v>
      </c>
      <c r="T4" s="5">
        <f>IFERROR(L4*Inputs_Assumptions!$B$9,"")</f>
        <v>0</v>
      </c>
      <c r="U4" s="5">
        <f>Inputs_Assumptions!$B$7</f>
        <v>1000000</v>
      </c>
      <c r="V4" s="5">
        <f>Inputs_Assumptions!$B$8</f>
        <v>0</v>
      </c>
      <c r="W4" s="5">
        <f>IFERROR(I4*Inputs_Assumptions!$B$10,"")</f>
        <v>0</v>
      </c>
      <c r="X4" s="5">
        <f>IFERROR(J4*Inputs_Assumptions!$B$11,"")</f>
        <v>0</v>
      </c>
      <c r="Y4" s="5">
        <f>IFERROR(J4*Inputs_Assumptions!$B$12,"")</f>
        <v>0</v>
      </c>
      <c r="Z4" s="5">
        <f>IFERROR(I4*Inputs_Assumptions!$B$13,"")</f>
        <v>0</v>
      </c>
      <c r="AA4" s="5">
        <f>SUM(R4:Z4)</f>
        <v>1062154.9824000001</v>
      </c>
      <c r="AB4" s="5">
        <f>IFERROR(N4*Inputs_Assumptions!$B$6,"")</f>
        <v>209875.59999999998</v>
      </c>
      <c r="AC4" s="5">
        <f>IFERROR(O4*Inputs_Assumptions!$B$6,"")</f>
        <v>705945.2</v>
      </c>
      <c r="AD4" s="5">
        <f>IFERROR(P4*Inputs_Assumptions!$B$6,"")</f>
        <v>496069.6</v>
      </c>
      <c r="AE4" s="5">
        <f>IFERROR(AA4-AB4,"")</f>
        <v>852279.38240000012</v>
      </c>
      <c r="AF4" s="5">
        <f>IFERROR(AA4/I4,"")</f>
        <v>2360.3444053333337</v>
      </c>
      <c r="AG4" s="5">
        <f>IFERROR(AA4/J4,"")</f>
        <v>15853.059438805971</v>
      </c>
      <c r="AH4" s="5">
        <f>IFERROR(AA4/K4,"")</f>
        <v>19669.536711111112</v>
      </c>
      <c r="AI4" s="5">
        <f>IFERROR(AE4/M4,"")</f>
        <v>21306.984560000004</v>
      </c>
      <c r="AJ4" s="5">
        <f>IFERROR(AE4/N4,"")</f>
        <v>77479.943854545461</v>
      </c>
      <c r="AK4" s="5">
        <f>IFERROR(N4*Inputs_Assumptions!$B$16,"")</f>
        <v>0.81399999999999995</v>
      </c>
      <c r="AL4" s="5">
        <f>IFERROR(N4*Inputs_Assumptions!$B$14*Inputs_Assumptions!$B$15,"")</f>
        <v>1.8315000000000001</v>
      </c>
      <c r="AM4" s="5">
        <f>IFERROR(AK4*Inputs_Assumptions!$B$17,"")</f>
        <v>16.279999999999998</v>
      </c>
      <c r="AN4" s="5">
        <f>IFERROR(AL4+AM4,"")</f>
        <v>18.111499999999999</v>
      </c>
      <c r="AO4" s="5">
        <f>IFERROR(N4*(Inputs_Assumptions!$B$18-Inputs_Assumptions!$B$19)*Inputs_Assumptions!$B$15,"")</f>
        <v>0.3030499999999996</v>
      </c>
      <c r="AP4" s="5">
        <f>IFERROR(J4*Inputs_Assumptions!$B$22*IF(C4="3HP",0.25,IF(C4="4R",4/12,0)),"")</f>
        <v>0</v>
      </c>
      <c r="AQ4" s="5">
        <f>0</f>
        <v>0</v>
      </c>
      <c r="AR4" s="5">
        <f>IFERROR(AO4-AP4-AQ4,"")</f>
        <v>0.3030499999999996</v>
      </c>
      <c r="AS4" s="5">
        <f>IFERROR(AE4/AN4,"")</f>
        <v>47057.360373243529</v>
      </c>
      <c r="AT4" s="5">
        <f>IFERROR(AE4/AR4,"")</f>
        <v>2812339.1598746125</v>
      </c>
      <c r="AU4" s="5">
        <f>IFERROR(AN4*Inputs_Assumptions!$B$23-AE4,"")</f>
        <v>-37261.882400000119</v>
      </c>
      <c r="AV4" s="5">
        <f>IFERROR(AN4*Inputs_Assumptions!$B$24-AE4,"")</f>
        <v>506083.11759999988</v>
      </c>
      <c r="AW4" s="5">
        <f>IFERROR(AR4*Inputs_Assumptions!$B$23-AE4,"")</f>
        <v>-838642.13240000012</v>
      </c>
      <c r="AX4" s="5">
        <f>IFERROR(AR4*Inputs_Assumptions!$B$24-AE4,"")</f>
        <v>-829550.63240000012</v>
      </c>
      <c r="AY4" s="5">
        <f>IFERROR(AA4/Inputs_Assumptions!$B$6,"")</f>
        <v>55.669667204763215</v>
      </c>
      <c r="AZ4" s="5">
        <f>IFERROR(IF(AE4&lt;0,-AE4,0),"")</f>
        <v>0</v>
      </c>
      <c r="BA4" s="5">
        <f>IFERROR(AY4/I4,"")</f>
        <v>0.12371037156614048</v>
      </c>
      <c r="BB4" s="5">
        <f>IFERROR(AY4/J4,"")</f>
        <v>0.83089055529497335</v>
      </c>
    </row>
    <row r="5" spans="1:54" x14ac:dyDescent="0.35">
      <c r="A5" s="1" t="s">
        <v>189</v>
      </c>
      <c r="B5" s="5" t="str">
        <f>Model_Outputs!C6</f>
        <v>IGRA</v>
      </c>
      <c r="C5" s="5" t="str">
        <f>Model_Outputs!D6</f>
        <v>3HP</v>
      </c>
      <c r="D5" s="5">
        <f>Model_Outputs!E6</f>
        <v>1500</v>
      </c>
      <c r="E5" s="5">
        <f>Model_Outputs!F6</f>
        <v>2000</v>
      </c>
      <c r="F5" s="5">
        <f>Model_Outputs!G6</f>
        <v>0.3</v>
      </c>
      <c r="G5" s="5">
        <f>Model_Outputs!H6</f>
        <v>2</v>
      </c>
      <c r="H5" s="5">
        <f>Model_Outputs!I6</f>
        <v>20</v>
      </c>
      <c r="I5" s="5">
        <f>Model_Outputs!J6</f>
        <v>450</v>
      </c>
      <c r="J5" s="5">
        <f>Model_Outputs!K6</f>
        <v>62</v>
      </c>
      <c r="K5" s="5">
        <f>Model_Outputs!L6</f>
        <v>50</v>
      </c>
      <c r="L5" s="5">
        <f>Model_Outputs!M6</f>
        <v>6</v>
      </c>
      <c r="M5" s="5">
        <f>Model_Outputs!N6</f>
        <v>37</v>
      </c>
      <c r="N5" s="5">
        <f>Model_Outputs!O6</f>
        <v>12</v>
      </c>
      <c r="O5" s="5">
        <f>Model_Outputs!P6</f>
        <v>37</v>
      </c>
      <c r="P5" s="5">
        <f>Model_Outputs!Q6</f>
        <v>25</v>
      </c>
      <c r="Q5" s="5">
        <f>Model_Outputs!R6</f>
        <v>0.3235294117647059</v>
      </c>
      <c r="R5" s="5">
        <f>IFERROR(I5*IF(B5="IGRA",Inputs_Assumptions!$B$2,Inputs_Assumptions!$B$3),"")</f>
        <v>51066</v>
      </c>
      <c r="S5" s="5">
        <f>IFERROR(J5*IF(C5="3HP",Inputs_Assumptions!$B$4,IF(C5="4R",Inputs_Assumptions!$B$5,0)),"")</f>
        <v>10261.446400000001</v>
      </c>
      <c r="T5" s="5">
        <f>IFERROR(L5*Inputs_Assumptions!$B$9,"")</f>
        <v>0</v>
      </c>
      <c r="U5" s="5">
        <f>Inputs_Assumptions!$B$7</f>
        <v>1000000</v>
      </c>
      <c r="V5" s="5">
        <f>Inputs_Assumptions!$B$8</f>
        <v>0</v>
      </c>
      <c r="W5" s="5">
        <f>IFERROR(I5*Inputs_Assumptions!$B$10,"")</f>
        <v>0</v>
      </c>
      <c r="X5" s="5">
        <f>IFERROR(J5*Inputs_Assumptions!$B$11,"")</f>
        <v>0</v>
      </c>
      <c r="Y5" s="5">
        <f>IFERROR(J5*Inputs_Assumptions!$B$12,"")</f>
        <v>0</v>
      </c>
      <c r="Z5" s="5">
        <f>IFERROR(I5*Inputs_Assumptions!$B$13,"")</f>
        <v>0</v>
      </c>
      <c r="AA5" s="5">
        <f>SUM(R5:Z5)</f>
        <v>1061327.4464</v>
      </c>
      <c r="AB5" s="5">
        <f>IFERROR(N5*Inputs_Assumptions!$B$6,"")</f>
        <v>228955.19999999998</v>
      </c>
      <c r="AC5" s="5">
        <f>IFERROR(O5*Inputs_Assumptions!$B$6,"")</f>
        <v>705945.2</v>
      </c>
      <c r="AD5" s="5">
        <f>IFERROR(P5*Inputs_Assumptions!$B$6,"")</f>
        <v>476989.99999999994</v>
      </c>
      <c r="AE5" s="5">
        <f>IFERROR(AA5-AB5,"")</f>
        <v>832372.24640000006</v>
      </c>
      <c r="AF5" s="5">
        <f>IFERROR(AA5/I5,"")</f>
        <v>2358.5054364444445</v>
      </c>
      <c r="AG5" s="5">
        <f>IFERROR(AA5/J5,"")</f>
        <v>17118.184619354837</v>
      </c>
      <c r="AH5" s="5">
        <f>IFERROR(AA5/K5,"")</f>
        <v>21226.548928</v>
      </c>
      <c r="AI5" s="5">
        <f>IFERROR(AE5/M5,"")</f>
        <v>22496.547200000001</v>
      </c>
      <c r="AJ5" s="5">
        <f>IFERROR(AE5/N5,"")</f>
        <v>69364.353866666672</v>
      </c>
      <c r="AK5" s="5">
        <f>IFERROR(N5*Inputs_Assumptions!$B$16,"")</f>
        <v>0.8879999999999999</v>
      </c>
      <c r="AL5" s="5">
        <f>IFERROR(N5*Inputs_Assumptions!$B$14*Inputs_Assumptions!$B$15,"")</f>
        <v>1.9980000000000002</v>
      </c>
      <c r="AM5" s="5">
        <f>IFERROR(AK5*Inputs_Assumptions!$B$17,"")</f>
        <v>17.759999999999998</v>
      </c>
      <c r="AN5" s="5">
        <f>IFERROR(AL5+AM5,"")</f>
        <v>19.757999999999999</v>
      </c>
      <c r="AO5" s="5">
        <f>IFERROR(N5*(Inputs_Assumptions!$B$18-Inputs_Assumptions!$B$19)*Inputs_Assumptions!$B$15,"")</f>
        <v>0.33059999999999956</v>
      </c>
      <c r="AP5" s="5">
        <f>IFERROR(J5*Inputs_Assumptions!$B$22*IF(C5="3HP",0.25,IF(C5="4R",4/12,0)),"")</f>
        <v>0</v>
      </c>
      <c r="AQ5" s="5">
        <f>0</f>
        <v>0</v>
      </c>
      <c r="AR5" s="5">
        <f>IFERROR(AO5-AP5-AQ5,"")</f>
        <v>0.33059999999999956</v>
      </c>
      <c r="AS5" s="5">
        <f>IFERROR(AE5/AN5,"")</f>
        <v>42128.365543071166</v>
      </c>
      <c r="AT5" s="5">
        <f>IFERROR(AE5/AR5,"")</f>
        <v>2517762.3908046014</v>
      </c>
      <c r="AU5" s="5">
        <f>IFERROR(AN5*Inputs_Assumptions!$B$23-AE5,"")</f>
        <v>56737.753599999938</v>
      </c>
      <c r="AV5" s="5">
        <f>IFERROR(AN5*Inputs_Assumptions!$B$24-AE5,"")</f>
        <v>649477.75359999994</v>
      </c>
      <c r="AW5" s="5">
        <f>IFERROR(AR5*Inputs_Assumptions!$B$23-AE5,"")</f>
        <v>-817495.24640000006</v>
      </c>
      <c r="AX5" s="5">
        <f>IFERROR(AR5*Inputs_Assumptions!$B$24-AE5,"")</f>
        <v>-807577.24640000006</v>
      </c>
      <c r="AY5" s="5">
        <f>IFERROR(AA5/Inputs_Assumptions!$B$6,"")</f>
        <v>55.626294387723021</v>
      </c>
      <c r="AZ5" s="5">
        <f>IFERROR(IF(AE5&lt;0,-AE5,0),"")</f>
        <v>0</v>
      </c>
      <c r="BA5" s="5">
        <f>IFERROR(AY5/I5,"")</f>
        <v>0.12361398752827338</v>
      </c>
      <c r="BB5" s="5">
        <f>IFERROR(AY5/J5,"")</f>
        <v>0.89719829657617778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7" customWidth="1"/>
    <col min="3" max="7" width="28" customWidth="1"/>
    <col min="8" max="8" width="35" customWidth="1"/>
    <col min="9" max="10" width="28" customWidth="1"/>
    <col min="11" max="12" width="44" customWidth="1"/>
  </cols>
  <sheetData>
    <row r="1" spans="1:12" ht="29" x14ac:dyDescent="0.35">
      <c r="A1" s="2" t="s">
        <v>159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</row>
    <row r="2" spans="1:12" x14ac:dyDescent="0.35">
      <c r="A2" s="5" t="str">
        <f>Economic_Calculations!A2</f>
        <v>Random</v>
      </c>
      <c r="B2" s="5">
        <f>Economic_Calculations!N2</f>
        <v>4</v>
      </c>
      <c r="C2" s="5">
        <f>Economic_Calculations!AE2</f>
        <v>980043.83039999998</v>
      </c>
      <c r="D2" s="5">
        <f>Economic_Calculations!AN2</f>
        <v>6.5860000000000003</v>
      </c>
      <c r="E2" s="5">
        <f>Economic_Calculations!AR2</f>
        <v>0.11019999999999985</v>
      </c>
      <c r="F2" s="5">
        <f>Economic_Calculations!AS2</f>
        <v>148807.14096568478</v>
      </c>
      <c r="G2" s="5">
        <f>Economic_Calculations!AT2</f>
        <v>8893319.6950998306</v>
      </c>
      <c r="H2" s="5">
        <f>Economic_Calculations!AJ2</f>
        <v>245010.95759999999</v>
      </c>
      <c r="I2" s="5">
        <f>Economic_Calculations!AW2</f>
        <v>-975084.83039999998</v>
      </c>
      <c r="J2" s="5">
        <f>Economic_Calculations!AX2</f>
        <v>-971778.83039999998</v>
      </c>
      <c r="K2" s="5">
        <f>Economic_Calculations!AY2</f>
        <v>55.366057485481882</v>
      </c>
      <c r="L2" s="5">
        <f>Economic_Calculations!AZ2</f>
        <v>0</v>
      </c>
    </row>
    <row r="3" spans="1:12" x14ac:dyDescent="0.35">
      <c r="A3" s="5" t="str">
        <f>Economic_Calculations!A3</f>
        <v>LTBI-targeted</v>
      </c>
      <c r="B3" s="5">
        <f>Economic_Calculations!N3</f>
        <v>11</v>
      </c>
      <c r="C3" s="5">
        <f>Economic_Calculations!AE3</f>
        <v>852279.38240000012</v>
      </c>
      <c r="D3" s="5">
        <f>Economic_Calculations!AN3</f>
        <v>18.111499999999999</v>
      </c>
      <c r="E3" s="5">
        <f>Economic_Calculations!AR3</f>
        <v>0.3030499999999996</v>
      </c>
      <c r="F3" s="5">
        <f>Economic_Calculations!AS3</f>
        <v>47057.360373243529</v>
      </c>
      <c r="G3" s="5">
        <f>Economic_Calculations!AT3</f>
        <v>2812339.1598746125</v>
      </c>
      <c r="H3" s="5">
        <f>Economic_Calculations!AJ3</f>
        <v>77479.943854545461</v>
      </c>
      <c r="I3" s="5">
        <f>Economic_Calculations!AW3</f>
        <v>-838642.13240000012</v>
      </c>
      <c r="J3" s="5">
        <f>Economic_Calculations!AX3</f>
        <v>-829550.63240000012</v>
      </c>
      <c r="K3" s="5">
        <f>Economic_Calculations!AY3</f>
        <v>55.669667204763215</v>
      </c>
      <c r="L3" s="5">
        <f>Economic_Calculations!AZ3</f>
        <v>0</v>
      </c>
    </row>
    <row r="4" spans="1:12" x14ac:dyDescent="0.35">
      <c r="A4" s="5" t="str">
        <f>Economic_Calculations!A4</f>
        <v>Cure-targeted</v>
      </c>
      <c r="B4" s="5">
        <f>Economic_Calculations!N4</f>
        <v>11</v>
      </c>
      <c r="C4" s="5">
        <f>Economic_Calculations!AE4</f>
        <v>852279.38240000012</v>
      </c>
      <c r="D4" s="5">
        <f>Economic_Calculations!AN4</f>
        <v>18.111499999999999</v>
      </c>
      <c r="E4" s="5">
        <f>Economic_Calculations!AR4</f>
        <v>0.3030499999999996</v>
      </c>
      <c r="F4" s="5">
        <f>Economic_Calculations!AS4</f>
        <v>47057.360373243529</v>
      </c>
      <c r="G4" s="5">
        <f>Economic_Calculations!AT4</f>
        <v>2812339.1598746125</v>
      </c>
      <c r="H4" s="5">
        <f>Economic_Calculations!AJ4</f>
        <v>77479.943854545461</v>
      </c>
      <c r="I4" s="5">
        <f>Economic_Calculations!AW4</f>
        <v>-838642.13240000012</v>
      </c>
      <c r="J4" s="5">
        <f>Economic_Calculations!AX4</f>
        <v>-829550.63240000012</v>
      </c>
      <c r="K4" s="5">
        <f>Economic_Calculations!AY4</f>
        <v>55.669667204763215</v>
      </c>
      <c r="L4" s="5">
        <f>Economic_Calculations!AZ4</f>
        <v>0</v>
      </c>
    </row>
    <row r="5" spans="1:12" x14ac:dyDescent="0.35">
      <c r="A5" s="5" t="str">
        <f>Economic_Calculations!A5</f>
        <v>Prevention-targeted</v>
      </c>
      <c r="B5" s="5">
        <f>Economic_Calculations!N5</f>
        <v>12</v>
      </c>
      <c r="C5" s="5">
        <f>Economic_Calculations!AE5</f>
        <v>832372.24640000006</v>
      </c>
      <c r="D5" s="5">
        <f>Economic_Calculations!AN5</f>
        <v>19.757999999999999</v>
      </c>
      <c r="E5" s="5">
        <f>Economic_Calculations!AR5</f>
        <v>0.33059999999999956</v>
      </c>
      <c r="F5" s="5">
        <f>Economic_Calculations!AS5</f>
        <v>42128.365543071166</v>
      </c>
      <c r="G5" s="5">
        <f>Economic_Calculations!AT5</f>
        <v>2517762.3908046014</v>
      </c>
      <c r="H5" s="5">
        <f>Economic_Calculations!AJ5</f>
        <v>69364.353866666672</v>
      </c>
      <c r="I5" s="5">
        <f>Economic_Calculations!AW5</f>
        <v>-817495.24640000006</v>
      </c>
      <c r="J5" s="5">
        <f>Economic_Calculations!AX5</f>
        <v>-807577.24640000006</v>
      </c>
      <c r="K5" s="5">
        <f>Economic_Calculations!AY5</f>
        <v>55.626294387723021</v>
      </c>
      <c r="L5" s="5">
        <f>Economic_Calculations!AZ5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opLeftCell="G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7" customWidth="1"/>
    <col min="3" max="4" width="28" customWidth="1"/>
    <col min="5" max="6" width="27" customWidth="1"/>
    <col min="7" max="7" width="44" customWidth="1"/>
    <col min="8" max="8" width="33" customWidth="1"/>
    <col min="9" max="9" width="28" customWidth="1"/>
    <col min="10" max="11" width="31" customWidth="1"/>
    <col min="12" max="12" width="22" customWidth="1"/>
    <col min="13" max="13" width="44" customWidth="1"/>
  </cols>
  <sheetData>
    <row r="1" spans="1:13" x14ac:dyDescent="0.35">
      <c r="A1" s="2" t="s">
        <v>159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191</v>
      </c>
      <c r="J1" s="2" t="s">
        <v>208</v>
      </c>
      <c r="K1" s="2" t="s">
        <v>209</v>
      </c>
      <c r="L1" s="2" t="s">
        <v>210</v>
      </c>
      <c r="M1" s="2" t="s">
        <v>25</v>
      </c>
    </row>
    <row r="2" spans="1:13" ht="29" x14ac:dyDescent="0.35">
      <c r="A2" s="5" t="str">
        <f>Economic_Calculations!A2</f>
        <v>Random</v>
      </c>
      <c r="B2" s="5">
        <f>Economic_Calculations!N2</f>
        <v>4</v>
      </c>
      <c r="C2" s="5">
        <f>Economic_Calculations!AB2</f>
        <v>76318.399999999994</v>
      </c>
      <c r="D2" s="5">
        <f>Economic_Calculations!AA2</f>
        <v>1056362.2304</v>
      </c>
      <c r="E2" s="5">
        <f>Economic_Calculations!R2</f>
        <v>51066</v>
      </c>
      <c r="F2" s="5">
        <f>Economic_Calculations!S2</f>
        <v>5296.2304000000004</v>
      </c>
      <c r="G2" s="5">
        <f>Economic_Calculations!U2+Economic_Calculations!V2</f>
        <v>1000000</v>
      </c>
      <c r="H2" s="5">
        <f>Economic_Calculations!T2</f>
        <v>0</v>
      </c>
      <c r="I2" s="5">
        <f>Economic_Calculations!AE2</f>
        <v>980043.83039999998</v>
      </c>
      <c r="J2" s="5">
        <f>Economic_Calculations!AX2</f>
        <v>-971778.83039999998</v>
      </c>
      <c r="K2" s="5">
        <f>B2-J2</f>
        <v>971782.83039999998</v>
      </c>
      <c r="L2" s="5" t="str">
        <f>IF(I2&lt;0,"yes","no")</f>
        <v>no</v>
      </c>
      <c r="M2" s="1" t="s">
        <v>211</v>
      </c>
    </row>
    <row r="3" spans="1:13" ht="29" x14ac:dyDescent="0.35">
      <c r="A3" s="5" t="str">
        <f>Economic_Calculations!A3</f>
        <v>LTBI-targeted</v>
      </c>
      <c r="B3" s="5">
        <f>Economic_Calculations!N3</f>
        <v>11</v>
      </c>
      <c r="C3" s="5">
        <f>Economic_Calculations!AB3</f>
        <v>209875.59999999998</v>
      </c>
      <c r="D3" s="5">
        <f>Economic_Calculations!AA3</f>
        <v>1062154.9824000001</v>
      </c>
      <c r="E3" s="5">
        <f>Economic_Calculations!R3</f>
        <v>51066</v>
      </c>
      <c r="F3" s="5">
        <f>Economic_Calculations!S3</f>
        <v>11088.982400000001</v>
      </c>
      <c r="G3" s="5">
        <f>Economic_Calculations!U3+Economic_Calculations!V3</f>
        <v>1000000</v>
      </c>
      <c r="H3" s="5">
        <f>Economic_Calculations!T3</f>
        <v>0</v>
      </c>
      <c r="I3" s="5">
        <f>Economic_Calculations!AE3</f>
        <v>852279.38240000012</v>
      </c>
      <c r="J3" s="5">
        <f>Economic_Calculations!AX3</f>
        <v>-829550.63240000012</v>
      </c>
      <c r="K3" s="5">
        <f>B3-J3</f>
        <v>829561.63240000012</v>
      </c>
      <c r="L3" s="5" t="str">
        <f>IF(I3&lt;0,"yes","no")</f>
        <v>no</v>
      </c>
      <c r="M3" s="1" t="s">
        <v>211</v>
      </c>
    </row>
    <row r="4" spans="1:13" ht="29" x14ac:dyDescent="0.35">
      <c r="A4" s="5" t="str">
        <f>Economic_Calculations!A4</f>
        <v>Cure-targeted</v>
      </c>
      <c r="B4" s="5">
        <f>Economic_Calculations!N4</f>
        <v>11</v>
      </c>
      <c r="C4" s="5">
        <f>Economic_Calculations!AB4</f>
        <v>209875.59999999998</v>
      </c>
      <c r="D4" s="5">
        <f>Economic_Calculations!AA4</f>
        <v>1062154.9824000001</v>
      </c>
      <c r="E4" s="5">
        <f>Economic_Calculations!R4</f>
        <v>51066</v>
      </c>
      <c r="F4" s="5">
        <f>Economic_Calculations!S4</f>
        <v>11088.982400000001</v>
      </c>
      <c r="G4" s="5">
        <f>Economic_Calculations!U4+Economic_Calculations!V4</f>
        <v>1000000</v>
      </c>
      <c r="H4" s="5">
        <f>Economic_Calculations!T4</f>
        <v>0</v>
      </c>
      <c r="I4" s="5">
        <f>Economic_Calculations!AE4</f>
        <v>852279.38240000012</v>
      </c>
      <c r="J4" s="5">
        <f>Economic_Calculations!AX4</f>
        <v>-829550.63240000012</v>
      </c>
      <c r="K4" s="5">
        <f>B4-J4</f>
        <v>829561.63240000012</v>
      </c>
      <c r="L4" s="5" t="str">
        <f>IF(I4&lt;0,"yes","no")</f>
        <v>no</v>
      </c>
      <c r="M4" s="1" t="s">
        <v>211</v>
      </c>
    </row>
    <row r="5" spans="1:13" ht="29" x14ac:dyDescent="0.35">
      <c r="A5" s="5" t="str">
        <f>Economic_Calculations!A5</f>
        <v>Prevention-targeted</v>
      </c>
      <c r="B5" s="5">
        <f>Economic_Calculations!N5</f>
        <v>12</v>
      </c>
      <c r="C5" s="5">
        <f>Economic_Calculations!AB5</f>
        <v>228955.19999999998</v>
      </c>
      <c r="D5" s="5">
        <f>Economic_Calculations!AA5</f>
        <v>1061327.4464</v>
      </c>
      <c r="E5" s="5">
        <f>Economic_Calculations!R5</f>
        <v>51066</v>
      </c>
      <c r="F5" s="5">
        <f>Economic_Calculations!S5</f>
        <v>10261.446400000001</v>
      </c>
      <c r="G5" s="5">
        <f>Economic_Calculations!U5+Economic_Calculations!V5</f>
        <v>1000000</v>
      </c>
      <c r="H5" s="5">
        <f>Economic_Calculations!T5</f>
        <v>0</v>
      </c>
      <c r="I5" s="5">
        <f>Economic_Calculations!AE5</f>
        <v>832372.24640000006</v>
      </c>
      <c r="J5" s="5">
        <f>Economic_Calculations!AX5</f>
        <v>-807577.24640000006</v>
      </c>
      <c r="K5" s="5">
        <f>B5-J5</f>
        <v>807589.24640000006</v>
      </c>
      <c r="L5" s="5" t="str">
        <f>IF(I5&lt;0,"yes","no")</f>
        <v>no</v>
      </c>
      <c r="M5" s="1" t="s">
        <v>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7" customWidth="1"/>
    <col min="3" max="3" width="30" customWidth="1"/>
    <col min="4" max="4" width="44" customWidth="1"/>
    <col min="5" max="5" width="27" customWidth="1"/>
    <col min="6" max="6" width="44" customWidth="1"/>
    <col min="7" max="9" width="28" customWidth="1"/>
    <col min="10" max="10" width="44" customWidth="1"/>
  </cols>
  <sheetData>
    <row r="1" spans="1:10" x14ac:dyDescent="0.35">
      <c r="A1" s="2" t="s">
        <v>159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25</v>
      </c>
    </row>
    <row r="2" spans="1:10" x14ac:dyDescent="0.35">
      <c r="A2" s="5" t="str">
        <f>Economic_Calculations!A2</f>
        <v>Random</v>
      </c>
      <c r="B2" s="1" t="s">
        <v>220</v>
      </c>
      <c r="C2" s="1" t="s">
        <v>221</v>
      </c>
      <c r="D2" s="5">
        <f>1</f>
        <v>1</v>
      </c>
      <c r="E2" s="5">
        <f>Economic_Calculations!D2</f>
        <v>1500</v>
      </c>
      <c r="F2" s="1"/>
      <c r="G2" s="1"/>
      <c r="H2" s="1"/>
      <c r="I2" s="1"/>
      <c r="J2" s="1" t="s">
        <v>222</v>
      </c>
    </row>
    <row r="3" spans="1:10" x14ac:dyDescent="0.35">
      <c r="A3" s="5" t="str">
        <f>Economic_Calculations!A2</f>
        <v>Random</v>
      </c>
      <c r="B3" s="1" t="s">
        <v>223</v>
      </c>
      <c r="C3" s="1" t="s">
        <v>224</v>
      </c>
      <c r="D3" s="5">
        <f>IFERROR(Economic_Calculations!I2/Economic_Calculations!D2,"")</f>
        <v>0.3</v>
      </c>
      <c r="E3" s="5">
        <f>Economic_Calculations!I2</f>
        <v>450</v>
      </c>
      <c r="F3" s="5">
        <f>IFERROR(Economic_Calculations!R2/Economic_Calculations!I2,"")</f>
        <v>113.48</v>
      </c>
      <c r="G3" s="5">
        <f>Economic_Calculations!R2</f>
        <v>51066</v>
      </c>
      <c r="H3" s="1"/>
      <c r="I3" s="1"/>
      <c r="J3" s="1" t="s">
        <v>225</v>
      </c>
    </row>
    <row r="4" spans="1:10" x14ac:dyDescent="0.35">
      <c r="A4" s="5" t="str">
        <f>Economic_Calculations!A2</f>
        <v>Random</v>
      </c>
      <c r="B4" s="1" t="s">
        <v>226</v>
      </c>
      <c r="C4" s="1" t="s">
        <v>227</v>
      </c>
      <c r="D4" s="5">
        <f>IFERROR(Economic_Calculations!J2/Economic_Calculations!I2,"")</f>
        <v>7.1111111111111111E-2</v>
      </c>
      <c r="E4" s="5">
        <f>Economic_Calculations!J2</f>
        <v>32</v>
      </c>
      <c r="F4" s="5">
        <f>IFERROR(Economic_Calculations!S2/Economic_Calculations!J2,"")</f>
        <v>165.50720000000001</v>
      </c>
      <c r="G4" s="5">
        <f>Economic_Calculations!S2</f>
        <v>5296.2304000000004</v>
      </c>
      <c r="H4" s="1" t="s">
        <v>228</v>
      </c>
      <c r="I4" s="1"/>
      <c r="J4" s="1" t="s">
        <v>225</v>
      </c>
    </row>
    <row r="5" spans="1:10" x14ac:dyDescent="0.35">
      <c r="A5" s="5" t="str">
        <f>Economic_Calculations!A2</f>
        <v>Random</v>
      </c>
      <c r="B5" s="1" t="s">
        <v>229</v>
      </c>
      <c r="C5" s="1" t="s">
        <v>230</v>
      </c>
      <c r="D5" s="5">
        <f>IFERROR(Economic_Calculations!K2/Economic_Calculations!J2,"")</f>
        <v>0.78125</v>
      </c>
      <c r="E5" s="5">
        <f>Economic_Calculations!K2</f>
        <v>25</v>
      </c>
      <c r="F5" s="1"/>
      <c r="G5" s="1"/>
      <c r="H5" s="1"/>
      <c r="I5" s="1"/>
      <c r="J5" s="1" t="s">
        <v>231</v>
      </c>
    </row>
    <row r="6" spans="1:10" x14ac:dyDescent="0.35">
      <c r="A6" s="5" t="str">
        <f>Economic_Calculations!A2</f>
        <v>Random</v>
      </c>
      <c r="B6" s="1" t="s">
        <v>232</v>
      </c>
      <c r="C6" s="1" t="s">
        <v>233</v>
      </c>
      <c r="D6" s="5">
        <f>IFERROR(Economic_Calculations!L2/Economic_Calculations!J2,"")</f>
        <v>0.21875</v>
      </c>
      <c r="E6" s="5">
        <f>Economic_Calculations!L2</f>
        <v>7</v>
      </c>
      <c r="F6" s="5">
        <f>Inputs_Assumptions!$B$9</f>
        <v>0</v>
      </c>
      <c r="G6" s="5">
        <f>Economic_Calculations!T2</f>
        <v>0</v>
      </c>
      <c r="H6" s="1"/>
      <c r="I6" s="1"/>
      <c r="J6" s="1" t="s">
        <v>234</v>
      </c>
    </row>
    <row r="7" spans="1:10" x14ac:dyDescent="0.35">
      <c r="A7" s="5" t="str">
        <f>Economic_Calculations!A2</f>
        <v>Random</v>
      </c>
      <c r="B7" s="1" t="s">
        <v>235</v>
      </c>
      <c r="C7" s="1" t="s">
        <v>236</v>
      </c>
      <c r="D7" s="5">
        <f>IFERROR(Economic_Calculations!M2/Economic_Calculations!J2,"")</f>
        <v>0.5</v>
      </c>
      <c r="E7" s="5">
        <f>Economic_Calculations!M2</f>
        <v>16</v>
      </c>
      <c r="F7" s="1"/>
      <c r="G7" s="1"/>
      <c r="H7" s="1"/>
      <c r="I7" s="1" t="s">
        <v>237</v>
      </c>
      <c r="J7" s="1" t="s">
        <v>238</v>
      </c>
    </row>
    <row r="8" spans="1:10" x14ac:dyDescent="0.35">
      <c r="A8" s="5" t="str">
        <f>Economic_Calculations!A2</f>
        <v>Random</v>
      </c>
      <c r="B8" s="1" t="s">
        <v>239</v>
      </c>
      <c r="C8" s="1" t="s">
        <v>240</v>
      </c>
      <c r="D8" s="5">
        <f>IFERROR(Economic_Calculations!N2/Economic_Calculations!D2,"")</f>
        <v>2.6666666666666666E-3</v>
      </c>
      <c r="E8" s="5">
        <f>Economic_Calculations!N2</f>
        <v>4</v>
      </c>
      <c r="F8" s="5">
        <f>Inputs_Assumptions!$B$6</f>
        <v>19079.599999999999</v>
      </c>
      <c r="G8" s="5">
        <f>Economic_Calculations!AB2</f>
        <v>76318.399999999994</v>
      </c>
      <c r="H8" s="1" t="s">
        <v>241</v>
      </c>
      <c r="I8" s="1" t="s">
        <v>242</v>
      </c>
      <c r="J8" s="1" t="s">
        <v>243</v>
      </c>
    </row>
    <row r="9" spans="1:10" x14ac:dyDescent="0.35">
      <c r="A9" s="5" t="str">
        <f>Economic_Calculations!A2</f>
        <v>Random</v>
      </c>
      <c r="B9" s="1" t="s">
        <v>192</v>
      </c>
      <c r="C9" s="1" t="s">
        <v>219</v>
      </c>
      <c r="D9" s="1"/>
      <c r="E9" s="1"/>
      <c r="F9" s="1"/>
      <c r="G9" s="1"/>
      <c r="H9" s="1" t="s">
        <v>244</v>
      </c>
      <c r="I9" s="5">
        <f>Economic_Calculations!AN2</f>
        <v>6.5860000000000003</v>
      </c>
      <c r="J9" s="1" t="s">
        <v>245</v>
      </c>
    </row>
    <row r="10" spans="1:10" x14ac:dyDescent="0.35">
      <c r="A10" s="5" t="str">
        <f>Economic_Calculations!A2</f>
        <v>Random</v>
      </c>
      <c r="B10" s="1" t="s">
        <v>193</v>
      </c>
      <c r="C10" s="1" t="s">
        <v>219</v>
      </c>
      <c r="D10" s="1"/>
      <c r="E10" s="1"/>
      <c r="F10" s="1"/>
      <c r="G10" s="1"/>
      <c r="H10" s="1" t="s">
        <v>246</v>
      </c>
      <c r="I10" s="5">
        <f>Economic_Calculations!AR2</f>
        <v>0.11019999999999985</v>
      </c>
      <c r="J10" s="1" t="s">
        <v>245</v>
      </c>
    </row>
    <row r="11" spans="1:10" x14ac:dyDescent="0.35">
      <c r="A11" s="5" t="str">
        <f>Economic_Calculations!A2</f>
        <v>Random</v>
      </c>
      <c r="B11" s="1" t="s">
        <v>247</v>
      </c>
      <c r="C11" s="1" t="s">
        <v>248</v>
      </c>
      <c r="D11" s="1"/>
      <c r="E11" s="1"/>
      <c r="F11" s="1"/>
      <c r="G11" s="5">
        <f>Economic_Calculations!AE2</f>
        <v>980043.83039999998</v>
      </c>
      <c r="H11" s="1"/>
      <c r="I11" s="1"/>
      <c r="J11" s="1" t="s">
        <v>249</v>
      </c>
    </row>
    <row r="12" spans="1:10" x14ac:dyDescent="0.35">
      <c r="A12" s="5" t="str">
        <f>Economic_Calculations!A2</f>
        <v>Random</v>
      </c>
      <c r="B12" s="1" t="s">
        <v>250</v>
      </c>
      <c r="C12" s="1" t="s">
        <v>248</v>
      </c>
      <c r="D12" s="1"/>
      <c r="E12" s="1"/>
      <c r="F12" s="1"/>
      <c r="G12" s="1"/>
      <c r="H12" s="1"/>
      <c r="I12" s="5">
        <f>Economic_Calculations!AS2</f>
        <v>148807.14096568478</v>
      </c>
      <c r="J12" s="1" t="s">
        <v>245</v>
      </c>
    </row>
    <row r="13" spans="1:10" x14ac:dyDescent="0.35">
      <c r="A13" s="5" t="str">
        <f>Economic_Calculations!A2</f>
        <v>Random</v>
      </c>
      <c r="B13" s="1" t="s">
        <v>251</v>
      </c>
      <c r="C13" s="1" t="s">
        <v>248</v>
      </c>
      <c r="D13" s="1"/>
      <c r="E13" s="1"/>
      <c r="F13" s="1"/>
      <c r="G13" s="1"/>
      <c r="H13" s="1"/>
      <c r="I13" s="5">
        <f>Economic_Calculations!AT2</f>
        <v>8893319.6950998306</v>
      </c>
      <c r="J13" s="1" t="s">
        <v>245</v>
      </c>
    </row>
    <row r="14" spans="1:10" x14ac:dyDescent="0.35">
      <c r="A14" s="5" t="str">
        <f>Economic_Calculations!A3</f>
        <v>LTBI-targeted</v>
      </c>
      <c r="B14" s="1" t="s">
        <v>220</v>
      </c>
      <c r="C14" s="1" t="s">
        <v>221</v>
      </c>
      <c r="D14" s="5">
        <f>1</f>
        <v>1</v>
      </c>
      <c r="E14" s="5">
        <f>Economic_Calculations!D3</f>
        <v>1500</v>
      </c>
      <c r="F14" s="1"/>
      <c r="G14" s="1"/>
      <c r="H14" s="1"/>
      <c r="I14" s="1"/>
      <c r="J14" s="1" t="s">
        <v>222</v>
      </c>
    </row>
    <row r="15" spans="1:10" x14ac:dyDescent="0.35">
      <c r="A15" s="5" t="str">
        <f>Economic_Calculations!A3</f>
        <v>LTBI-targeted</v>
      </c>
      <c r="B15" s="1" t="s">
        <v>223</v>
      </c>
      <c r="C15" s="1" t="s">
        <v>224</v>
      </c>
      <c r="D15" s="5">
        <f>IFERROR(Economic_Calculations!I3/Economic_Calculations!D3,"")</f>
        <v>0.3</v>
      </c>
      <c r="E15" s="5">
        <f>Economic_Calculations!I3</f>
        <v>450</v>
      </c>
      <c r="F15" s="5">
        <f>IFERROR(Economic_Calculations!R3/Economic_Calculations!I3,"")</f>
        <v>113.48</v>
      </c>
      <c r="G15" s="5">
        <f>Economic_Calculations!R3</f>
        <v>51066</v>
      </c>
      <c r="H15" s="1"/>
      <c r="I15" s="1"/>
      <c r="J15" s="1" t="s">
        <v>225</v>
      </c>
    </row>
    <row r="16" spans="1:10" x14ac:dyDescent="0.35">
      <c r="A16" s="5" t="str">
        <f>Economic_Calculations!A3</f>
        <v>LTBI-targeted</v>
      </c>
      <c r="B16" s="1" t="s">
        <v>226</v>
      </c>
      <c r="C16" s="1" t="s">
        <v>227</v>
      </c>
      <c r="D16" s="5">
        <f>IFERROR(Economic_Calculations!J3/Economic_Calculations!I3,"")</f>
        <v>0.14888888888888888</v>
      </c>
      <c r="E16" s="5">
        <f>Economic_Calculations!J3</f>
        <v>67</v>
      </c>
      <c r="F16" s="5">
        <f>IFERROR(Economic_Calculations!S3/Economic_Calculations!J3,"")</f>
        <v>165.50720000000001</v>
      </c>
      <c r="G16" s="5">
        <f>Economic_Calculations!S3</f>
        <v>11088.982400000001</v>
      </c>
      <c r="H16" s="1" t="s">
        <v>228</v>
      </c>
      <c r="I16" s="1"/>
      <c r="J16" s="1" t="s">
        <v>225</v>
      </c>
    </row>
    <row r="17" spans="1:10" x14ac:dyDescent="0.35">
      <c r="A17" s="5" t="str">
        <f>Economic_Calculations!A3</f>
        <v>LTBI-targeted</v>
      </c>
      <c r="B17" s="1" t="s">
        <v>229</v>
      </c>
      <c r="C17" s="1" t="s">
        <v>230</v>
      </c>
      <c r="D17" s="5">
        <f>IFERROR(Economic_Calculations!K3/Economic_Calculations!J3,"")</f>
        <v>0.80597014925373134</v>
      </c>
      <c r="E17" s="5">
        <f>Economic_Calculations!K3</f>
        <v>54</v>
      </c>
      <c r="F17" s="1"/>
      <c r="G17" s="1"/>
      <c r="H17" s="1"/>
      <c r="I17" s="1"/>
      <c r="J17" s="1" t="s">
        <v>231</v>
      </c>
    </row>
    <row r="18" spans="1:10" x14ac:dyDescent="0.35">
      <c r="A18" s="5" t="str">
        <f>Economic_Calculations!A3</f>
        <v>LTBI-targeted</v>
      </c>
      <c r="B18" s="1" t="s">
        <v>232</v>
      </c>
      <c r="C18" s="1" t="s">
        <v>233</v>
      </c>
      <c r="D18" s="5">
        <f>IFERROR(Economic_Calculations!L3/Economic_Calculations!J3,"")</f>
        <v>8.9552238805970144E-2</v>
      </c>
      <c r="E18" s="5">
        <f>Economic_Calculations!L3</f>
        <v>6</v>
      </c>
      <c r="F18" s="5">
        <f>Inputs_Assumptions!$B$9</f>
        <v>0</v>
      </c>
      <c r="G18" s="5">
        <f>Economic_Calculations!T3</f>
        <v>0</v>
      </c>
      <c r="H18" s="1"/>
      <c r="I18" s="1"/>
      <c r="J18" s="1" t="s">
        <v>234</v>
      </c>
    </row>
    <row r="19" spans="1:10" x14ac:dyDescent="0.35">
      <c r="A19" s="5" t="str">
        <f>Economic_Calculations!A3</f>
        <v>LTBI-targeted</v>
      </c>
      <c r="B19" s="1" t="s">
        <v>235</v>
      </c>
      <c r="C19" s="1" t="s">
        <v>236</v>
      </c>
      <c r="D19" s="5">
        <f>IFERROR(Economic_Calculations!M3/Economic_Calculations!J3,"")</f>
        <v>0.59701492537313428</v>
      </c>
      <c r="E19" s="5">
        <f>Economic_Calculations!M3</f>
        <v>40</v>
      </c>
      <c r="F19" s="1"/>
      <c r="G19" s="1"/>
      <c r="H19" s="1"/>
      <c r="I19" s="1" t="s">
        <v>237</v>
      </c>
      <c r="J19" s="1" t="s">
        <v>238</v>
      </c>
    </row>
    <row r="20" spans="1:10" x14ac:dyDescent="0.35">
      <c r="A20" s="5" t="str">
        <f>Economic_Calculations!A3</f>
        <v>LTBI-targeted</v>
      </c>
      <c r="B20" s="1" t="s">
        <v>239</v>
      </c>
      <c r="C20" s="1" t="s">
        <v>240</v>
      </c>
      <c r="D20" s="5">
        <f>IFERROR(Economic_Calculations!N3/Economic_Calculations!D3,"")</f>
        <v>7.3333333333333332E-3</v>
      </c>
      <c r="E20" s="5">
        <f>Economic_Calculations!N3</f>
        <v>11</v>
      </c>
      <c r="F20" s="5">
        <f>Inputs_Assumptions!$B$6</f>
        <v>19079.599999999999</v>
      </c>
      <c r="G20" s="5">
        <f>Economic_Calculations!AB3</f>
        <v>209875.59999999998</v>
      </c>
      <c r="H20" s="1" t="s">
        <v>241</v>
      </c>
      <c r="I20" s="1" t="s">
        <v>242</v>
      </c>
      <c r="J20" s="1" t="s">
        <v>243</v>
      </c>
    </row>
    <row r="21" spans="1:10" x14ac:dyDescent="0.35">
      <c r="A21" s="5" t="str">
        <f>Economic_Calculations!A3</f>
        <v>LTBI-targeted</v>
      </c>
      <c r="B21" s="1" t="s">
        <v>192</v>
      </c>
      <c r="C21" s="1" t="s">
        <v>219</v>
      </c>
      <c r="D21" s="1"/>
      <c r="E21" s="1"/>
      <c r="F21" s="1"/>
      <c r="G21" s="1"/>
      <c r="H21" s="1" t="s">
        <v>244</v>
      </c>
      <c r="I21" s="5">
        <f>Economic_Calculations!AN3</f>
        <v>18.111499999999999</v>
      </c>
      <c r="J21" s="1" t="s">
        <v>245</v>
      </c>
    </row>
    <row r="22" spans="1:10" x14ac:dyDescent="0.35">
      <c r="A22" s="5" t="str">
        <f>Economic_Calculations!A3</f>
        <v>LTBI-targeted</v>
      </c>
      <c r="B22" s="1" t="s">
        <v>193</v>
      </c>
      <c r="C22" s="1" t="s">
        <v>219</v>
      </c>
      <c r="D22" s="1"/>
      <c r="E22" s="1"/>
      <c r="F22" s="1"/>
      <c r="G22" s="1"/>
      <c r="H22" s="1" t="s">
        <v>246</v>
      </c>
      <c r="I22" s="5">
        <f>Economic_Calculations!AR3</f>
        <v>0.3030499999999996</v>
      </c>
      <c r="J22" s="1" t="s">
        <v>245</v>
      </c>
    </row>
    <row r="23" spans="1:10" x14ac:dyDescent="0.35">
      <c r="A23" s="5" t="str">
        <f>Economic_Calculations!A3</f>
        <v>LTBI-targeted</v>
      </c>
      <c r="B23" s="1" t="s">
        <v>247</v>
      </c>
      <c r="C23" s="1" t="s">
        <v>248</v>
      </c>
      <c r="D23" s="1"/>
      <c r="E23" s="1"/>
      <c r="F23" s="1"/>
      <c r="G23" s="5">
        <f>Economic_Calculations!AE3</f>
        <v>852279.38240000012</v>
      </c>
      <c r="H23" s="1"/>
      <c r="I23" s="1"/>
      <c r="J23" s="1" t="s">
        <v>249</v>
      </c>
    </row>
    <row r="24" spans="1:10" x14ac:dyDescent="0.35">
      <c r="A24" s="5" t="str">
        <f>Economic_Calculations!A3</f>
        <v>LTBI-targeted</v>
      </c>
      <c r="B24" s="1" t="s">
        <v>250</v>
      </c>
      <c r="C24" s="1" t="s">
        <v>248</v>
      </c>
      <c r="D24" s="1"/>
      <c r="E24" s="1"/>
      <c r="F24" s="1"/>
      <c r="G24" s="1"/>
      <c r="H24" s="1"/>
      <c r="I24" s="5">
        <f>Economic_Calculations!AS3</f>
        <v>47057.360373243529</v>
      </c>
      <c r="J24" s="1" t="s">
        <v>245</v>
      </c>
    </row>
    <row r="25" spans="1:10" x14ac:dyDescent="0.35">
      <c r="A25" s="5" t="str">
        <f>Economic_Calculations!A3</f>
        <v>LTBI-targeted</v>
      </c>
      <c r="B25" s="1" t="s">
        <v>251</v>
      </c>
      <c r="C25" s="1" t="s">
        <v>248</v>
      </c>
      <c r="D25" s="1"/>
      <c r="E25" s="1"/>
      <c r="F25" s="1"/>
      <c r="G25" s="1"/>
      <c r="H25" s="1"/>
      <c r="I25" s="5">
        <f>Economic_Calculations!AT3</f>
        <v>2812339.1598746125</v>
      </c>
      <c r="J25" s="1" t="s">
        <v>245</v>
      </c>
    </row>
    <row r="26" spans="1:10" x14ac:dyDescent="0.35">
      <c r="A26" s="5" t="str">
        <f>Economic_Calculations!A4</f>
        <v>Cure-targeted</v>
      </c>
      <c r="B26" s="1" t="s">
        <v>220</v>
      </c>
      <c r="C26" s="1" t="s">
        <v>221</v>
      </c>
      <c r="D26" s="5">
        <f>1</f>
        <v>1</v>
      </c>
      <c r="E26" s="5">
        <f>Economic_Calculations!D4</f>
        <v>1500</v>
      </c>
      <c r="F26" s="1"/>
      <c r="G26" s="1"/>
      <c r="H26" s="1"/>
      <c r="I26" s="1"/>
      <c r="J26" s="1" t="s">
        <v>222</v>
      </c>
    </row>
    <row r="27" spans="1:10" x14ac:dyDescent="0.35">
      <c r="A27" s="5" t="str">
        <f>Economic_Calculations!A4</f>
        <v>Cure-targeted</v>
      </c>
      <c r="B27" s="1" t="s">
        <v>223</v>
      </c>
      <c r="C27" s="1" t="s">
        <v>224</v>
      </c>
      <c r="D27" s="5">
        <f>IFERROR(Economic_Calculations!I4/Economic_Calculations!D4,"")</f>
        <v>0.3</v>
      </c>
      <c r="E27" s="5">
        <f>Economic_Calculations!I4</f>
        <v>450</v>
      </c>
      <c r="F27" s="5">
        <f>IFERROR(Economic_Calculations!R4/Economic_Calculations!I4,"")</f>
        <v>113.48</v>
      </c>
      <c r="G27" s="5">
        <f>Economic_Calculations!R4</f>
        <v>51066</v>
      </c>
      <c r="H27" s="1"/>
      <c r="I27" s="1"/>
      <c r="J27" s="1" t="s">
        <v>225</v>
      </c>
    </row>
    <row r="28" spans="1:10" x14ac:dyDescent="0.35">
      <c r="A28" s="5" t="str">
        <f>Economic_Calculations!A4</f>
        <v>Cure-targeted</v>
      </c>
      <c r="B28" s="1" t="s">
        <v>226</v>
      </c>
      <c r="C28" s="1" t="s">
        <v>227</v>
      </c>
      <c r="D28" s="5">
        <f>IFERROR(Economic_Calculations!J4/Economic_Calculations!I4,"")</f>
        <v>0.14888888888888888</v>
      </c>
      <c r="E28" s="5">
        <f>Economic_Calculations!J4</f>
        <v>67</v>
      </c>
      <c r="F28" s="5">
        <f>IFERROR(Economic_Calculations!S4/Economic_Calculations!J4,"")</f>
        <v>165.50720000000001</v>
      </c>
      <c r="G28" s="5">
        <f>Economic_Calculations!S4</f>
        <v>11088.982400000001</v>
      </c>
      <c r="H28" s="1" t="s">
        <v>228</v>
      </c>
      <c r="I28" s="1"/>
      <c r="J28" s="1" t="s">
        <v>225</v>
      </c>
    </row>
    <row r="29" spans="1:10" x14ac:dyDescent="0.35">
      <c r="A29" s="5" t="str">
        <f>Economic_Calculations!A4</f>
        <v>Cure-targeted</v>
      </c>
      <c r="B29" s="1" t="s">
        <v>229</v>
      </c>
      <c r="C29" s="1" t="s">
        <v>230</v>
      </c>
      <c r="D29" s="5">
        <f>IFERROR(Economic_Calculations!K4/Economic_Calculations!J4,"")</f>
        <v>0.80597014925373134</v>
      </c>
      <c r="E29" s="5">
        <f>Economic_Calculations!K4</f>
        <v>54</v>
      </c>
      <c r="F29" s="1"/>
      <c r="G29" s="1"/>
      <c r="H29" s="1"/>
      <c r="I29" s="1"/>
      <c r="J29" s="1" t="s">
        <v>231</v>
      </c>
    </row>
    <row r="30" spans="1:10" x14ac:dyDescent="0.35">
      <c r="A30" s="5" t="str">
        <f>Economic_Calculations!A4</f>
        <v>Cure-targeted</v>
      </c>
      <c r="B30" s="1" t="s">
        <v>232</v>
      </c>
      <c r="C30" s="1" t="s">
        <v>233</v>
      </c>
      <c r="D30" s="5">
        <f>IFERROR(Economic_Calculations!L4/Economic_Calculations!J4,"")</f>
        <v>8.9552238805970144E-2</v>
      </c>
      <c r="E30" s="5">
        <f>Economic_Calculations!L4</f>
        <v>6</v>
      </c>
      <c r="F30" s="5">
        <f>Inputs_Assumptions!$B$9</f>
        <v>0</v>
      </c>
      <c r="G30" s="5">
        <f>Economic_Calculations!T4</f>
        <v>0</v>
      </c>
      <c r="H30" s="1"/>
      <c r="I30" s="1"/>
      <c r="J30" s="1" t="s">
        <v>234</v>
      </c>
    </row>
    <row r="31" spans="1:10" x14ac:dyDescent="0.35">
      <c r="A31" s="5" t="str">
        <f>Economic_Calculations!A4</f>
        <v>Cure-targeted</v>
      </c>
      <c r="B31" s="1" t="s">
        <v>235</v>
      </c>
      <c r="C31" s="1" t="s">
        <v>236</v>
      </c>
      <c r="D31" s="5">
        <f>IFERROR(Economic_Calculations!M4/Economic_Calculations!J4,"")</f>
        <v>0.59701492537313428</v>
      </c>
      <c r="E31" s="5">
        <f>Economic_Calculations!M4</f>
        <v>40</v>
      </c>
      <c r="F31" s="1"/>
      <c r="G31" s="1"/>
      <c r="H31" s="1"/>
      <c r="I31" s="1" t="s">
        <v>237</v>
      </c>
      <c r="J31" s="1" t="s">
        <v>238</v>
      </c>
    </row>
    <row r="32" spans="1:10" x14ac:dyDescent="0.35">
      <c r="A32" s="5" t="str">
        <f>Economic_Calculations!A4</f>
        <v>Cure-targeted</v>
      </c>
      <c r="B32" s="1" t="s">
        <v>239</v>
      </c>
      <c r="C32" s="1" t="s">
        <v>240</v>
      </c>
      <c r="D32" s="5">
        <f>IFERROR(Economic_Calculations!N4/Economic_Calculations!D4,"")</f>
        <v>7.3333333333333332E-3</v>
      </c>
      <c r="E32" s="5">
        <f>Economic_Calculations!N4</f>
        <v>11</v>
      </c>
      <c r="F32" s="5">
        <f>Inputs_Assumptions!$B$6</f>
        <v>19079.599999999999</v>
      </c>
      <c r="G32" s="5">
        <f>Economic_Calculations!AB4</f>
        <v>209875.59999999998</v>
      </c>
      <c r="H32" s="1" t="s">
        <v>241</v>
      </c>
      <c r="I32" s="1" t="s">
        <v>242</v>
      </c>
      <c r="J32" s="1" t="s">
        <v>243</v>
      </c>
    </row>
    <row r="33" spans="1:10" x14ac:dyDescent="0.35">
      <c r="A33" s="5" t="str">
        <f>Economic_Calculations!A4</f>
        <v>Cure-targeted</v>
      </c>
      <c r="B33" s="1" t="s">
        <v>192</v>
      </c>
      <c r="C33" s="1" t="s">
        <v>219</v>
      </c>
      <c r="D33" s="1"/>
      <c r="E33" s="1"/>
      <c r="F33" s="1"/>
      <c r="G33" s="1"/>
      <c r="H33" s="1" t="s">
        <v>244</v>
      </c>
      <c r="I33" s="5">
        <f>Economic_Calculations!AN4</f>
        <v>18.111499999999999</v>
      </c>
      <c r="J33" s="1" t="s">
        <v>245</v>
      </c>
    </row>
    <row r="34" spans="1:10" x14ac:dyDescent="0.35">
      <c r="A34" s="5" t="str">
        <f>Economic_Calculations!A4</f>
        <v>Cure-targeted</v>
      </c>
      <c r="B34" s="1" t="s">
        <v>193</v>
      </c>
      <c r="C34" s="1" t="s">
        <v>219</v>
      </c>
      <c r="D34" s="1"/>
      <c r="E34" s="1"/>
      <c r="F34" s="1"/>
      <c r="G34" s="1"/>
      <c r="H34" s="1" t="s">
        <v>246</v>
      </c>
      <c r="I34" s="5">
        <f>Economic_Calculations!AR4</f>
        <v>0.3030499999999996</v>
      </c>
      <c r="J34" s="1" t="s">
        <v>245</v>
      </c>
    </row>
    <row r="35" spans="1:10" x14ac:dyDescent="0.35">
      <c r="A35" s="5" t="str">
        <f>Economic_Calculations!A4</f>
        <v>Cure-targeted</v>
      </c>
      <c r="B35" s="1" t="s">
        <v>247</v>
      </c>
      <c r="C35" s="1" t="s">
        <v>248</v>
      </c>
      <c r="D35" s="1"/>
      <c r="E35" s="1"/>
      <c r="F35" s="1"/>
      <c r="G35" s="5">
        <f>Economic_Calculations!AE4</f>
        <v>852279.38240000012</v>
      </c>
      <c r="H35" s="1"/>
      <c r="I35" s="1"/>
      <c r="J35" s="1" t="s">
        <v>249</v>
      </c>
    </row>
    <row r="36" spans="1:10" x14ac:dyDescent="0.35">
      <c r="A36" s="5" t="str">
        <f>Economic_Calculations!A4</f>
        <v>Cure-targeted</v>
      </c>
      <c r="B36" s="1" t="s">
        <v>250</v>
      </c>
      <c r="C36" s="1" t="s">
        <v>248</v>
      </c>
      <c r="D36" s="1"/>
      <c r="E36" s="1"/>
      <c r="F36" s="1"/>
      <c r="G36" s="1"/>
      <c r="H36" s="1"/>
      <c r="I36" s="5">
        <f>Economic_Calculations!AS4</f>
        <v>47057.360373243529</v>
      </c>
      <c r="J36" s="1" t="s">
        <v>245</v>
      </c>
    </row>
    <row r="37" spans="1:10" x14ac:dyDescent="0.35">
      <c r="A37" s="5" t="str">
        <f>Economic_Calculations!A4</f>
        <v>Cure-targeted</v>
      </c>
      <c r="B37" s="1" t="s">
        <v>251</v>
      </c>
      <c r="C37" s="1" t="s">
        <v>248</v>
      </c>
      <c r="D37" s="1"/>
      <c r="E37" s="1"/>
      <c r="F37" s="1"/>
      <c r="G37" s="1"/>
      <c r="H37" s="1"/>
      <c r="I37" s="5">
        <f>Economic_Calculations!AT4</f>
        <v>2812339.1598746125</v>
      </c>
      <c r="J37" s="1" t="s">
        <v>245</v>
      </c>
    </row>
    <row r="38" spans="1:10" x14ac:dyDescent="0.35">
      <c r="A38" s="5" t="str">
        <f>Economic_Calculations!A5</f>
        <v>Prevention-targeted</v>
      </c>
      <c r="B38" s="1" t="s">
        <v>220</v>
      </c>
      <c r="C38" s="1" t="s">
        <v>221</v>
      </c>
      <c r="D38" s="5">
        <f>1</f>
        <v>1</v>
      </c>
      <c r="E38" s="5">
        <f>Economic_Calculations!D5</f>
        <v>1500</v>
      </c>
      <c r="F38" s="1"/>
      <c r="G38" s="1"/>
      <c r="H38" s="1"/>
      <c r="I38" s="1"/>
      <c r="J38" s="1" t="s">
        <v>222</v>
      </c>
    </row>
    <row r="39" spans="1:10" x14ac:dyDescent="0.35">
      <c r="A39" s="5" t="str">
        <f>Economic_Calculations!A5</f>
        <v>Prevention-targeted</v>
      </c>
      <c r="B39" s="1" t="s">
        <v>223</v>
      </c>
      <c r="C39" s="1" t="s">
        <v>224</v>
      </c>
      <c r="D39" s="5">
        <f>IFERROR(Economic_Calculations!I5/Economic_Calculations!D5,"")</f>
        <v>0.3</v>
      </c>
      <c r="E39" s="5">
        <f>Economic_Calculations!I5</f>
        <v>450</v>
      </c>
      <c r="F39" s="5">
        <f>IFERROR(Economic_Calculations!R5/Economic_Calculations!I5,"")</f>
        <v>113.48</v>
      </c>
      <c r="G39" s="5">
        <f>Economic_Calculations!R5</f>
        <v>51066</v>
      </c>
      <c r="H39" s="1"/>
      <c r="I39" s="1"/>
      <c r="J39" s="1" t="s">
        <v>225</v>
      </c>
    </row>
    <row r="40" spans="1:10" x14ac:dyDescent="0.35">
      <c r="A40" s="5" t="str">
        <f>Economic_Calculations!A5</f>
        <v>Prevention-targeted</v>
      </c>
      <c r="B40" s="1" t="s">
        <v>226</v>
      </c>
      <c r="C40" s="1" t="s">
        <v>227</v>
      </c>
      <c r="D40" s="5">
        <f>IFERROR(Economic_Calculations!J5/Economic_Calculations!I5,"")</f>
        <v>0.13777777777777778</v>
      </c>
      <c r="E40" s="5">
        <f>Economic_Calculations!J5</f>
        <v>62</v>
      </c>
      <c r="F40" s="5">
        <f>IFERROR(Economic_Calculations!S5/Economic_Calculations!J5,"")</f>
        <v>165.50720000000001</v>
      </c>
      <c r="G40" s="5">
        <f>Economic_Calculations!S5</f>
        <v>10261.446400000001</v>
      </c>
      <c r="H40" s="1" t="s">
        <v>228</v>
      </c>
      <c r="I40" s="1"/>
      <c r="J40" s="1" t="s">
        <v>225</v>
      </c>
    </row>
    <row r="41" spans="1:10" x14ac:dyDescent="0.35">
      <c r="A41" s="5" t="str">
        <f>Economic_Calculations!A5</f>
        <v>Prevention-targeted</v>
      </c>
      <c r="B41" s="1" t="s">
        <v>229</v>
      </c>
      <c r="C41" s="1" t="s">
        <v>230</v>
      </c>
      <c r="D41" s="5">
        <f>IFERROR(Economic_Calculations!K5/Economic_Calculations!J5,"")</f>
        <v>0.80645161290322576</v>
      </c>
      <c r="E41" s="5">
        <f>Economic_Calculations!K5</f>
        <v>50</v>
      </c>
      <c r="F41" s="1"/>
      <c r="G41" s="1"/>
      <c r="H41" s="1"/>
      <c r="I41" s="1"/>
      <c r="J41" s="1" t="s">
        <v>231</v>
      </c>
    </row>
    <row r="42" spans="1:10" x14ac:dyDescent="0.35">
      <c r="A42" s="5" t="str">
        <f>Economic_Calculations!A5</f>
        <v>Prevention-targeted</v>
      </c>
      <c r="B42" s="1" t="s">
        <v>232</v>
      </c>
      <c r="C42" s="1" t="s">
        <v>233</v>
      </c>
      <c r="D42" s="5">
        <f>IFERROR(Economic_Calculations!L5/Economic_Calculations!J5,"")</f>
        <v>9.6774193548387094E-2</v>
      </c>
      <c r="E42" s="5">
        <f>Economic_Calculations!L5</f>
        <v>6</v>
      </c>
      <c r="F42" s="5">
        <f>Inputs_Assumptions!$B$9</f>
        <v>0</v>
      </c>
      <c r="G42" s="5">
        <f>Economic_Calculations!T5</f>
        <v>0</v>
      </c>
      <c r="H42" s="1"/>
      <c r="I42" s="1"/>
      <c r="J42" s="1" t="s">
        <v>234</v>
      </c>
    </row>
    <row r="43" spans="1:10" x14ac:dyDescent="0.35">
      <c r="A43" s="5" t="str">
        <f>Economic_Calculations!A5</f>
        <v>Prevention-targeted</v>
      </c>
      <c r="B43" s="1" t="s">
        <v>235</v>
      </c>
      <c r="C43" s="1" t="s">
        <v>236</v>
      </c>
      <c r="D43" s="5">
        <f>IFERROR(Economic_Calculations!M5/Economic_Calculations!J5,"")</f>
        <v>0.59677419354838712</v>
      </c>
      <c r="E43" s="5">
        <f>Economic_Calculations!M5</f>
        <v>37</v>
      </c>
      <c r="F43" s="1"/>
      <c r="G43" s="1"/>
      <c r="H43" s="1"/>
      <c r="I43" s="1" t="s">
        <v>237</v>
      </c>
      <c r="J43" s="1" t="s">
        <v>238</v>
      </c>
    </row>
    <row r="44" spans="1:10" x14ac:dyDescent="0.35">
      <c r="A44" s="5" t="str">
        <f>Economic_Calculations!A5</f>
        <v>Prevention-targeted</v>
      </c>
      <c r="B44" s="1" t="s">
        <v>239</v>
      </c>
      <c r="C44" s="1" t="s">
        <v>240</v>
      </c>
      <c r="D44" s="5">
        <f>IFERROR(Economic_Calculations!N5/Economic_Calculations!D5,"")</f>
        <v>8.0000000000000002E-3</v>
      </c>
      <c r="E44" s="5">
        <f>Economic_Calculations!N5</f>
        <v>12</v>
      </c>
      <c r="F44" s="5">
        <f>Inputs_Assumptions!$B$6</f>
        <v>19079.599999999999</v>
      </c>
      <c r="G44" s="5">
        <f>Economic_Calculations!AB5</f>
        <v>228955.19999999998</v>
      </c>
      <c r="H44" s="1" t="s">
        <v>241</v>
      </c>
      <c r="I44" s="1" t="s">
        <v>242</v>
      </c>
      <c r="J44" s="1" t="s">
        <v>243</v>
      </c>
    </row>
    <row r="45" spans="1:10" x14ac:dyDescent="0.35">
      <c r="A45" s="5" t="str">
        <f>Economic_Calculations!A5</f>
        <v>Prevention-targeted</v>
      </c>
      <c r="B45" s="1" t="s">
        <v>192</v>
      </c>
      <c r="C45" s="1" t="s">
        <v>219</v>
      </c>
      <c r="D45" s="1"/>
      <c r="E45" s="1"/>
      <c r="F45" s="1"/>
      <c r="G45" s="1"/>
      <c r="H45" s="1" t="s">
        <v>244</v>
      </c>
      <c r="I45" s="5">
        <f>Economic_Calculations!AN5</f>
        <v>19.757999999999999</v>
      </c>
      <c r="J45" s="1" t="s">
        <v>245</v>
      </c>
    </row>
    <row r="46" spans="1:10" x14ac:dyDescent="0.35">
      <c r="A46" s="5" t="str">
        <f>Economic_Calculations!A5</f>
        <v>Prevention-targeted</v>
      </c>
      <c r="B46" s="1" t="s">
        <v>193</v>
      </c>
      <c r="C46" s="1" t="s">
        <v>219</v>
      </c>
      <c r="D46" s="1"/>
      <c r="E46" s="1"/>
      <c r="F46" s="1"/>
      <c r="G46" s="1"/>
      <c r="H46" s="1" t="s">
        <v>246</v>
      </c>
      <c r="I46" s="5">
        <f>Economic_Calculations!AR5</f>
        <v>0.33059999999999956</v>
      </c>
      <c r="J46" s="1" t="s">
        <v>245</v>
      </c>
    </row>
    <row r="47" spans="1:10" x14ac:dyDescent="0.35">
      <c r="A47" s="5" t="str">
        <f>Economic_Calculations!A5</f>
        <v>Prevention-targeted</v>
      </c>
      <c r="B47" s="1" t="s">
        <v>247</v>
      </c>
      <c r="C47" s="1" t="s">
        <v>248</v>
      </c>
      <c r="D47" s="1"/>
      <c r="E47" s="1"/>
      <c r="F47" s="1"/>
      <c r="G47" s="5">
        <f>Economic_Calculations!AE5</f>
        <v>832372.24640000006</v>
      </c>
      <c r="H47" s="1"/>
      <c r="I47" s="1"/>
      <c r="J47" s="1" t="s">
        <v>249</v>
      </c>
    </row>
    <row r="48" spans="1:10" x14ac:dyDescent="0.35">
      <c r="A48" s="5" t="str">
        <f>Economic_Calculations!A5</f>
        <v>Prevention-targeted</v>
      </c>
      <c r="B48" s="1" t="s">
        <v>250</v>
      </c>
      <c r="C48" s="1" t="s">
        <v>248</v>
      </c>
      <c r="D48" s="1"/>
      <c r="E48" s="1"/>
      <c r="F48" s="1"/>
      <c r="G48" s="1"/>
      <c r="H48" s="1"/>
      <c r="I48" s="5">
        <f>Economic_Calculations!AS5</f>
        <v>42128.365543071166</v>
      </c>
      <c r="J48" s="1" t="s">
        <v>245</v>
      </c>
    </row>
    <row r="49" spans="1:10" x14ac:dyDescent="0.35">
      <c r="A49" s="5" t="str">
        <f>Economic_Calculations!A5</f>
        <v>Prevention-targeted</v>
      </c>
      <c r="B49" s="1" t="s">
        <v>251</v>
      </c>
      <c r="C49" s="1" t="s">
        <v>248</v>
      </c>
      <c r="D49" s="1"/>
      <c r="E49" s="1"/>
      <c r="F49" s="1"/>
      <c r="G49" s="1"/>
      <c r="H49" s="1"/>
      <c r="I49" s="5">
        <f>Economic_Calculations!AT5</f>
        <v>2517762.3908046014</v>
      </c>
      <c r="J49" s="1" t="s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9" customWidth="1"/>
    <col min="3" max="3" width="37" customWidth="1"/>
    <col min="4" max="4" width="18" customWidth="1"/>
    <col min="5" max="5" width="20" customWidth="1"/>
    <col min="6" max="6" width="23" customWidth="1"/>
    <col min="7" max="8" width="21" customWidth="1"/>
    <col min="9" max="12" width="20" customWidth="1"/>
    <col min="13" max="14" width="44" customWidth="1"/>
  </cols>
  <sheetData>
    <row r="1" spans="1:14" x14ac:dyDescent="0.35">
      <c r="A1" s="2" t="s">
        <v>84</v>
      </c>
      <c r="B1" s="2" t="s">
        <v>85</v>
      </c>
      <c r="C1" s="2" t="s">
        <v>150</v>
      </c>
      <c r="D1" s="2" t="s">
        <v>107</v>
      </c>
      <c r="E1" s="2" t="s">
        <v>111</v>
      </c>
      <c r="F1" s="2" t="s">
        <v>112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121</v>
      </c>
      <c r="N1" s="2" t="s">
        <v>252</v>
      </c>
    </row>
    <row r="2" spans="1:14" ht="29" x14ac:dyDescent="0.35">
      <c r="A2" s="1" t="s">
        <v>122</v>
      </c>
      <c r="B2" s="1" t="s">
        <v>123</v>
      </c>
      <c r="C2" s="1" t="s">
        <v>151</v>
      </c>
      <c r="D2" s="1">
        <v>4</v>
      </c>
      <c r="E2" s="1">
        <v>6.5860000000000003</v>
      </c>
      <c r="F2" s="1">
        <v>0.1101079452054793</v>
      </c>
      <c r="G2" s="1">
        <v>-3030.089523231095</v>
      </c>
      <c r="H2" s="1">
        <v>-181241.8673580598</v>
      </c>
      <c r="I2" s="1">
        <v>316326.16960000002</v>
      </c>
      <c r="J2" s="1">
        <v>513906.16960000002</v>
      </c>
      <c r="K2" s="1">
        <v>24911.02713424656</v>
      </c>
      <c r="L2" s="1">
        <v>28214.26549041094</v>
      </c>
      <c r="M2" s="1" t="s">
        <v>152</v>
      </c>
      <c r="N2" s="1" t="s">
        <v>253</v>
      </c>
    </row>
    <row r="3" spans="1:14" ht="29" x14ac:dyDescent="0.35">
      <c r="A3" s="1" t="s">
        <v>122</v>
      </c>
      <c r="B3" s="1" t="s">
        <v>123</v>
      </c>
      <c r="C3" s="1" t="s">
        <v>153</v>
      </c>
      <c r="D3" s="1">
        <v>4</v>
      </c>
      <c r="E3" s="1">
        <v>6.5860000000000003</v>
      </c>
      <c r="F3" s="1">
        <v>3.7079452054793178E-3</v>
      </c>
      <c r="G3" s="1">
        <v>-3030.089523231095</v>
      </c>
      <c r="H3" s="1">
        <v>-5382002.2934832722</v>
      </c>
      <c r="I3" s="1">
        <v>316326.16960000002</v>
      </c>
      <c r="J3" s="1">
        <v>513906.16960000002</v>
      </c>
      <c r="K3" s="1">
        <v>20123.02713424656</v>
      </c>
      <c r="L3" s="1">
        <v>20234.26549041094</v>
      </c>
      <c r="M3" s="1" t="s">
        <v>152</v>
      </c>
      <c r="N3" s="1" t="s">
        <v>253</v>
      </c>
    </row>
    <row r="4" spans="1:14" ht="29" x14ac:dyDescent="0.35">
      <c r="A4" s="1" t="s">
        <v>122</v>
      </c>
      <c r="B4" s="1" t="s">
        <v>123</v>
      </c>
      <c r="C4" s="1" t="s">
        <v>154</v>
      </c>
      <c r="D4" s="1">
        <v>4</v>
      </c>
      <c r="E4" s="1">
        <v>0.66600000000000004</v>
      </c>
      <c r="F4" s="1">
        <v>0.1101079452054793</v>
      </c>
      <c r="G4" s="1">
        <v>-29964.218618618612</v>
      </c>
      <c r="H4" s="1">
        <v>-181241.8673580598</v>
      </c>
      <c r="I4" s="1">
        <v>49926.169599999987</v>
      </c>
      <c r="J4" s="1">
        <v>69906.169599999994</v>
      </c>
      <c r="K4" s="1">
        <v>24911.02713424656</v>
      </c>
      <c r="L4" s="1">
        <v>28214.26549041094</v>
      </c>
      <c r="M4" s="1" t="s">
        <v>152</v>
      </c>
      <c r="N4" s="1" t="s">
        <v>253</v>
      </c>
    </row>
    <row r="5" spans="1:14" ht="29" x14ac:dyDescent="0.35">
      <c r="A5" s="1" t="s">
        <v>122</v>
      </c>
      <c r="B5" s="1" t="s">
        <v>123</v>
      </c>
      <c r="C5" s="1" t="s">
        <v>155</v>
      </c>
      <c r="D5" s="1">
        <v>4</v>
      </c>
      <c r="E5" s="1">
        <v>3.6259999999999999</v>
      </c>
      <c r="F5" s="1">
        <v>0.1101079452054793</v>
      </c>
      <c r="G5" s="1">
        <v>-5503.6319911748469</v>
      </c>
      <c r="H5" s="1">
        <v>-181241.8673580598</v>
      </c>
      <c r="I5" s="1">
        <v>183126.16959999999</v>
      </c>
      <c r="J5" s="1">
        <v>291906.16960000002</v>
      </c>
      <c r="K5" s="1">
        <v>24911.02713424656</v>
      </c>
      <c r="L5" s="1">
        <v>28214.26549041094</v>
      </c>
      <c r="M5" s="1" t="s">
        <v>152</v>
      </c>
      <c r="N5" s="1" t="s">
        <v>253</v>
      </c>
    </row>
    <row r="6" spans="1:14" ht="29" x14ac:dyDescent="0.35">
      <c r="A6" s="1" t="s">
        <v>122</v>
      </c>
      <c r="B6" s="1" t="s">
        <v>123</v>
      </c>
      <c r="C6" s="1" t="s">
        <v>156</v>
      </c>
      <c r="D6" s="1">
        <v>4</v>
      </c>
      <c r="E6" s="1">
        <v>9.5459999999999994</v>
      </c>
      <c r="F6" s="1">
        <v>0.1101079452054793</v>
      </c>
      <c r="G6" s="1">
        <v>-2090.52688036874</v>
      </c>
      <c r="H6" s="1">
        <v>-181241.8673580598</v>
      </c>
      <c r="I6" s="1">
        <v>449526.16960000002</v>
      </c>
      <c r="J6" s="1">
        <v>735906.16960000002</v>
      </c>
      <c r="K6" s="1">
        <v>24911.02713424656</v>
      </c>
      <c r="L6" s="1">
        <v>28214.26549041094</v>
      </c>
      <c r="M6" s="1" t="s">
        <v>152</v>
      </c>
      <c r="N6" s="1" t="s">
        <v>253</v>
      </c>
    </row>
    <row r="7" spans="1:14" ht="29" x14ac:dyDescent="0.35">
      <c r="A7" s="1" t="s">
        <v>122</v>
      </c>
      <c r="B7" s="1" t="s">
        <v>123</v>
      </c>
      <c r="C7" s="1" t="s">
        <v>157</v>
      </c>
      <c r="D7" s="1">
        <v>4</v>
      </c>
      <c r="E7" s="1">
        <v>3.6259999999999999</v>
      </c>
      <c r="F7" s="1">
        <v>0.1101079452054793</v>
      </c>
      <c r="G7" s="1">
        <v>-5503.6319911748469</v>
      </c>
      <c r="H7" s="1">
        <v>-181241.8673580598</v>
      </c>
      <c r="I7" s="1">
        <v>183126.16959999999</v>
      </c>
      <c r="J7" s="1">
        <v>291906.16960000002</v>
      </c>
      <c r="K7" s="1">
        <v>24911.02713424656</v>
      </c>
      <c r="L7" s="1">
        <v>28214.26549041094</v>
      </c>
      <c r="M7" s="1" t="s">
        <v>152</v>
      </c>
      <c r="N7" s="1" t="s">
        <v>253</v>
      </c>
    </row>
    <row r="8" spans="1:14" ht="29" x14ac:dyDescent="0.35">
      <c r="A8" s="1" t="s">
        <v>122</v>
      </c>
      <c r="B8" s="1" t="s">
        <v>123</v>
      </c>
      <c r="C8" s="1" t="s">
        <v>158</v>
      </c>
      <c r="D8" s="1">
        <v>4</v>
      </c>
      <c r="E8" s="1">
        <v>9.5460000000000012</v>
      </c>
      <c r="F8" s="1">
        <v>0.1101079452054793</v>
      </c>
      <c r="G8" s="1">
        <v>-2090.52688036874</v>
      </c>
      <c r="H8" s="1">
        <v>-181241.8673580598</v>
      </c>
      <c r="I8" s="1">
        <v>449526.16960000002</v>
      </c>
      <c r="J8" s="1">
        <v>735906.16960000014</v>
      </c>
      <c r="K8" s="1">
        <v>24911.02713424656</v>
      </c>
      <c r="L8" s="1">
        <v>28214.26549041094</v>
      </c>
      <c r="M8" s="1" t="s">
        <v>152</v>
      </c>
      <c r="N8" s="1" t="s">
        <v>253</v>
      </c>
    </row>
    <row r="9" spans="1:14" ht="29" x14ac:dyDescent="0.35">
      <c r="A9" s="1" t="s">
        <v>128</v>
      </c>
      <c r="B9" s="1" t="s">
        <v>129</v>
      </c>
      <c r="C9" s="1" t="s">
        <v>151</v>
      </c>
      <c r="D9" s="1">
        <v>11</v>
      </c>
      <c r="E9" s="1">
        <v>18.111499999999999</v>
      </c>
      <c r="F9" s="1">
        <v>0.30277383561643789</v>
      </c>
      <c r="G9" s="1">
        <v>-8156.1779863622542</v>
      </c>
      <c r="H9" s="1">
        <v>-487890.96091888339</v>
      </c>
      <c r="I9" s="1">
        <v>962738.1176</v>
      </c>
      <c r="J9" s="1">
        <v>1506083.1176</v>
      </c>
      <c r="K9" s="1">
        <v>161345.4402027397</v>
      </c>
      <c r="L9" s="1">
        <v>170428.6552712328</v>
      </c>
      <c r="M9" s="1" t="s">
        <v>152</v>
      </c>
      <c r="N9" s="1" t="s">
        <v>253</v>
      </c>
    </row>
    <row r="10" spans="1:14" ht="29" x14ac:dyDescent="0.35">
      <c r="A10" s="1" t="s">
        <v>128</v>
      </c>
      <c r="B10" s="1" t="s">
        <v>129</v>
      </c>
      <c r="C10" s="1" t="s">
        <v>153</v>
      </c>
      <c r="D10" s="1">
        <v>11</v>
      </c>
      <c r="E10" s="1">
        <v>18.111499999999999</v>
      </c>
      <c r="F10" s="1">
        <v>7.9998835616437947E-2</v>
      </c>
      <c r="G10" s="1">
        <v>-8156.1779863622542</v>
      </c>
      <c r="H10" s="1">
        <v>-1846534.595931628</v>
      </c>
      <c r="I10" s="1">
        <v>962738.1176</v>
      </c>
      <c r="J10" s="1">
        <v>1506083.1176</v>
      </c>
      <c r="K10" s="1">
        <v>151320.5652027397</v>
      </c>
      <c r="L10" s="1">
        <v>153720.5302712328</v>
      </c>
      <c r="M10" s="1" t="s">
        <v>152</v>
      </c>
      <c r="N10" s="1" t="s">
        <v>253</v>
      </c>
    </row>
    <row r="11" spans="1:14" ht="29" x14ac:dyDescent="0.35">
      <c r="A11" s="1" t="s">
        <v>128</v>
      </c>
      <c r="B11" s="1" t="s">
        <v>129</v>
      </c>
      <c r="C11" s="1" t="s">
        <v>154</v>
      </c>
      <c r="D11" s="1">
        <v>11</v>
      </c>
      <c r="E11" s="1">
        <v>1.8314999999999999</v>
      </c>
      <c r="F11" s="1">
        <v>0.30277383561643789</v>
      </c>
      <c r="G11" s="1">
        <v>-80655.537865137841</v>
      </c>
      <c r="H11" s="1">
        <v>-487890.96091888339</v>
      </c>
      <c r="I11" s="1">
        <v>230138.1176</v>
      </c>
      <c r="J11" s="1">
        <v>285083.1176</v>
      </c>
      <c r="K11" s="1">
        <v>161345.4402027397</v>
      </c>
      <c r="L11" s="1">
        <v>170428.6552712328</v>
      </c>
      <c r="M11" s="1" t="s">
        <v>152</v>
      </c>
      <c r="N11" s="1" t="s">
        <v>253</v>
      </c>
    </row>
    <row r="12" spans="1:14" ht="29" x14ac:dyDescent="0.35">
      <c r="A12" s="1" t="s">
        <v>128</v>
      </c>
      <c r="B12" s="1" t="s">
        <v>129</v>
      </c>
      <c r="C12" s="1" t="s">
        <v>155</v>
      </c>
      <c r="D12" s="1">
        <v>11</v>
      </c>
      <c r="E12" s="1">
        <v>9.9714999999999989</v>
      </c>
      <c r="F12" s="1">
        <v>0.30277383561643789</v>
      </c>
      <c r="G12" s="1">
        <v>-14814.282465025321</v>
      </c>
      <c r="H12" s="1">
        <v>-487890.96091888339</v>
      </c>
      <c r="I12" s="1">
        <v>596438.11759999988</v>
      </c>
      <c r="J12" s="1">
        <v>895583.11759999988</v>
      </c>
      <c r="K12" s="1">
        <v>161345.4402027397</v>
      </c>
      <c r="L12" s="1">
        <v>170428.6552712328</v>
      </c>
      <c r="M12" s="1" t="s">
        <v>152</v>
      </c>
      <c r="N12" s="1" t="s">
        <v>253</v>
      </c>
    </row>
    <row r="13" spans="1:14" ht="29" x14ac:dyDescent="0.35">
      <c r="A13" s="1" t="s">
        <v>128</v>
      </c>
      <c r="B13" s="1" t="s">
        <v>129</v>
      </c>
      <c r="C13" s="1" t="s">
        <v>156</v>
      </c>
      <c r="D13" s="1">
        <v>11</v>
      </c>
      <c r="E13" s="1">
        <v>26.2515</v>
      </c>
      <c r="F13" s="1">
        <v>0.30277383561643789</v>
      </c>
      <c r="G13" s="1">
        <v>-5627.1305487305472</v>
      </c>
      <c r="H13" s="1">
        <v>-487890.96091888339</v>
      </c>
      <c r="I13" s="1">
        <v>1329038.1176</v>
      </c>
      <c r="J13" s="1">
        <v>2116583.1176</v>
      </c>
      <c r="K13" s="1">
        <v>161345.4402027397</v>
      </c>
      <c r="L13" s="1">
        <v>170428.6552712328</v>
      </c>
      <c r="M13" s="1" t="s">
        <v>152</v>
      </c>
      <c r="N13" s="1" t="s">
        <v>253</v>
      </c>
    </row>
    <row r="14" spans="1:14" ht="29" x14ac:dyDescent="0.35">
      <c r="A14" s="1" t="s">
        <v>128</v>
      </c>
      <c r="B14" s="1" t="s">
        <v>129</v>
      </c>
      <c r="C14" s="1" t="s">
        <v>157</v>
      </c>
      <c r="D14" s="1">
        <v>11</v>
      </c>
      <c r="E14" s="1">
        <v>9.9714999999999989</v>
      </c>
      <c r="F14" s="1">
        <v>0.30277383561643789</v>
      </c>
      <c r="G14" s="1">
        <v>-14814.282465025321</v>
      </c>
      <c r="H14" s="1">
        <v>-487890.96091888339</v>
      </c>
      <c r="I14" s="1">
        <v>596438.11759999988</v>
      </c>
      <c r="J14" s="1">
        <v>895583.11759999988</v>
      </c>
      <c r="K14" s="1">
        <v>161345.4402027397</v>
      </c>
      <c r="L14" s="1">
        <v>170428.6552712328</v>
      </c>
      <c r="M14" s="1" t="s">
        <v>152</v>
      </c>
      <c r="N14" s="1" t="s">
        <v>253</v>
      </c>
    </row>
    <row r="15" spans="1:14" ht="29" x14ac:dyDescent="0.35">
      <c r="A15" s="1" t="s">
        <v>128</v>
      </c>
      <c r="B15" s="1" t="s">
        <v>129</v>
      </c>
      <c r="C15" s="1" t="s">
        <v>158</v>
      </c>
      <c r="D15" s="1">
        <v>11</v>
      </c>
      <c r="E15" s="1">
        <v>26.2515</v>
      </c>
      <c r="F15" s="1">
        <v>0.30277383561643789</v>
      </c>
      <c r="G15" s="1">
        <v>-5627.1305487305472</v>
      </c>
      <c r="H15" s="1">
        <v>-487890.96091888339</v>
      </c>
      <c r="I15" s="1">
        <v>1329038.1176</v>
      </c>
      <c r="J15" s="1">
        <v>2116583.1176</v>
      </c>
      <c r="K15" s="1">
        <v>161345.4402027397</v>
      </c>
      <c r="L15" s="1">
        <v>170428.6552712328</v>
      </c>
      <c r="M15" s="1" t="s">
        <v>152</v>
      </c>
      <c r="N15" s="1" t="s">
        <v>253</v>
      </c>
    </row>
    <row r="16" spans="1:14" ht="29" x14ac:dyDescent="0.35">
      <c r="A16" s="1" t="s">
        <v>130</v>
      </c>
      <c r="B16" s="1" t="s">
        <v>131</v>
      </c>
      <c r="C16" s="1" t="s">
        <v>151</v>
      </c>
      <c r="D16" s="1">
        <v>11</v>
      </c>
      <c r="E16" s="1">
        <v>18.111499999999999</v>
      </c>
      <c r="F16" s="1">
        <v>0.30277383561643789</v>
      </c>
      <c r="G16" s="1">
        <v>-8156.1779863622542</v>
      </c>
      <c r="H16" s="1">
        <v>-487890.96091888339</v>
      </c>
      <c r="I16" s="1">
        <v>962738.1176</v>
      </c>
      <c r="J16" s="1">
        <v>1506083.1176</v>
      </c>
      <c r="K16" s="1">
        <v>161345.4402027397</v>
      </c>
      <c r="L16" s="1">
        <v>170428.6552712328</v>
      </c>
      <c r="M16" s="1" t="s">
        <v>152</v>
      </c>
      <c r="N16" s="1" t="s">
        <v>253</v>
      </c>
    </row>
    <row r="17" spans="1:14" ht="29" x14ac:dyDescent="0.35">
      <c r="A17" s="1" t="s">
        <v>130</v>
      </c>
      <c r="B17" s="1" t="s">
        <v>131</v>
      </c>
      <c r="C17" s="1" t="s">
        <v>153</v>
      </c>
      <c r="D17" s="1">
        <v>11</v>
      </c>
      <c r="E17" s="1">
        <v>18.111499999999999</v>
      </c>
      <c r="F17" s="1">
        <v>7.9998835616437947E-2</v>
      </c>
      <c r="G17" s="1">
        <v>-8156.1779863622542</v>
      </c>
      <c r="H17" s="1">
        <v>-1846534.595931628</v>
      </c>
      <c r="I17" s="1">
        <v>962738.1176</v>
      </c>
      <c r="J17" s="1">
        <v>1506083.1176</v>
      </c>
      <c r="K17" s="1">
        <v>151320.5652027397</v>
      </c>
      <c r="L17" s="1">
        <v>153720.5302712328</v>
      </c>
      <c r="M17" s="1" t="s">
        <v>152</v>
      </c>
      <c r="N17" s="1" t="s">
        <v>253</v>
      </c>
    </row>
    <row r="18" spans="1:14" ht="29" x14ac:dyDescent="0.35">
      <c r="A18" s="1" t="s">
        <v>130</v>
      </c>
      <c r="B18" s="1" t="s">
        <v>131</v>
      </c>
      <c r="C18" s="1" t="s">
        <v>154</v>
      </c>
      <c r="D18" s="1">
        <v>11</v>
      </c>
      <c r="E18" s="1">
        <v>1.8314999999999999</v>
      </c>
      <c r="F18" s="1">
        <v>0.30277383561643789</v>
      </c>
      <c r="G18" s="1">
        <v>-80655.537865137841</v>
      </c>
      <c r="H18" s="1">
        <v>-487890.96091888339</v>
      </c>
      <c r="I18" s="1">
        <v>230138.1176</v>
      </c>
      <c r="J18" s="1">
        <v>285083.1176</v>
      </c>
      <c r="K18" s="1">
        <v>161345.4402027397</v>
      </c>
      <c r="L18" s="1">
        <v>170428.6552712328</v>
      </c>
      <c r="M18" s="1" t="s">
        <v>152</v>
      </c>
      <c r="N18" s="1" t="s">
        <v>253</v>
      </c>
    </row>
    <row r="19" spans="1:14" ht="29" x14ac:dyDescent="0.35">
      <c r="A19" s="1" t="s">
        <v>130</v>
      </c>
      <c r="B19" s="1" t="s">
        <v>131</v>
      </c>
      <c r="C19" s="1" t="s">
        <v>155</v>
      </c>
      <c r="D19" s="1">
        <v>11</v>
      </c>
      <c r="E19" s="1">
        <v>9.9714999999999989</v>
      </c>
      <c r="F19" s="1">
        <v>0.30277383561643789</v>
      </c>
      <c r="G19" s="1">
        <v>-14814.282465025321</v>
      </c>
      <c r="H19" s="1">
        <v>-487890.96091888339</v>
      </c>
      <c r="I19" s="1">
        <v>596438.11759999988</v>
      </c>
      <c r="J19" s="1">
        <v>895583.11759999988</v>
      </c>
      <c r="K19" s="1">
        <v>161345.4402027397</v>
      </c>
      <c r="L19" s="1">
        <v>170428.6552712328</v>
      </c>
      <c r="M19" s="1" t="s">
        <v>152</v>
      </c>
      <c r="N19" s="1" t="s">
        <v>253</v>
      </c>
    </row>
    <row r="20" spans="1:14" ht="29" x14ac:dyDescent="0.35">
      <c r="A20" s="1" t="s">
        <v>130</v>
      </c>
      <c r="B20" s="1" t="s">
        <v>131</v>
      </c>
      <c r="C20" s="1" t="s">
        <v>156</v>
      </c>
      <c r="D20" s="1">
        <v>11</v>
      </c>
      <c r="E20" s="1">
        <v>26.2515</v>
      </c>
      <c r="F20" s="1">
        <v>0.30277383561643789</v>
      </c>
      <c r="G20" s="1">
        <v>-5627.1305487305472</v>
      </c>
      <c r="H20" s="1">
        <v>-487890.96091888339</v>
      </c>
      <c r="I20" s="1">
        <v>1329038.1176</v>
      </c>
      <c r="J20" s="1">
        <v>2116583.1176</v>
      </c>
      <c r="K20" s="1">
        <v>161345.4402027397</v>
      </c>
      <c r="L20" s="1">
        <v>170428.6552712328</v>
      </c>
      <c r="M20" s="1" t="s">
        <v>152</v>
      </c>
      <c r="N20" s="1" t="s">
        <v>253</v>
      </c>
    </row>
    <row r="21" spans="1:14" ht="29" x14ac:dyDescent="0.35">
      <c r="A21" s="1" t="s">
        <v>130</v>
      </c>
      <c r="B21" s="1" t="s">
        <v>131</v>
      </c>
      <c r="C21" s="1" t="s">
        <v>157</v>
      </c>
      <c r="D21" s="1">
        <v>11</v>
      </c>
      <c r="E21" s="1">
        <v>9.9714999999999989</v>
      </c>
      <c r="F21" s="1">
        <v>0.30277383561643789</v>
      </c>
      <c r="G21" s="1">
        <v>-14814.282465025321</v>
      </c>
      <c r="H21" s="1">
        <v>-487890.96091888339</v>
      </c>
      <c r="I21" s="1">
        <v>596438.11759999988</v>
      </c>
      <c r="J21" s="1">
        <v>895583.11759999988</v>
      </c>
      <c r="K21" s="1">
        <v>161345.4402027397</v>
      </c>
      <c r="L21" s="1">
        <v>170428.6552712328</v>
      </c>
      <c r="M21" s="1" t="s">
        <v>152</v>
      </c>
      <c r="N21" s="1" t="s">
        <v>253</v>
      </c>
    </row>
    <row r="22" spans="1:14" ht="29" x14ac:dyDescent="0.35">
      <c r="A22" s="1" t="s">
        <v>130</v>
      </c>
      <c r="B22" s="1" t="s">
        <v>131</v>
      </c>
      <c r="C22" s="1" t="s">
        <v>158</v>
      </c>
      <c r="D22" s="1">
        <v>11</v>
      </c>
      <c r="E22" s="1">
        <v>26.2515</v>
      </c>
      <c r="F22" s="1">
        <v>0.30277383561643789</v>
      </c>
      <c r="G22" s="1">
        <v>-5627.1305487305472</v>
      </c>
      <c r="H22" s="1">
        <v>-487890.96091888339</v>
      </c>
      <c r="I22" s="1">
        <v>1329038.1176</v>
      </c>
      <c r="J22" s="1">
        <v>2116583.1176</v>
      </c>
      <c r="K22" s="1">
        <v>161345.4402027397</v>
      </c>
      <c r="L22" s="1">
        <v>170428.6552712328</v>
      </c>
      <c r="M22" s="1" t="s">
        <v>152</v>
      </c>
      <c r="N22" s="1" t="s">
        <v>253</v>
      </c>
    </row>
    <row r="23" spans="1:14" ht="29" x14ac:dyDescent="0.35">
      <c r="A23" s="1" t="s">
        <v>132</v>
      </c>
      <c r="B23" s="1" t="s">
        <v>133</v>
      </c>
      <c r="C23" s="1" t="s">
        <v>151</v>
      </c>
      <c r="D23" s="1">
        <v>12</v>
      </c>
      <c r="E23" s="1">
        <v>19.757999999999999</v>
      </c>
      <c r="F23" s="1">
        <v>0.33032383561643791</v>
      </c>
      <c r="G23" s="1">
        <v>-8484.0446199008002</v>
      </c>
      <c r="H23" s="1">
        <v>-507464.90421189071</v>
      </c>
      <c r="I23" s="1">
        <v>1056737.7535999999</v>
      </c>
      <c r="J23" s="1">
        <v>1649477.7535999999</v>
      </c>
      <c r="K23" s="1">
        <v>182492.3262027397</v>
      </c>
      <c r="L23" s="1">
        <v>192402.0412712328</v>
      </c>
      <c r="M23" s="1" t="s">
        <v>152</v>
      </c>
      <c r="N23" s="1" t="s">
        <v>253</v>
      </c>
    </row>
    <row r="24" spans="1:14" ht="29" x14ac:dyDescent="0.35">
      <c r="A24" s="1" t="s">
        <v>132</v>
      </c>
      <c r="B24" s="1" t="s">
        <v>133</v>
      </c>
      <c r="C24" s="1" t="s">
        <v>153</v>
      </c>
      <c r="D24" s="1">
        <v>12</v>
      </c>
      <c r="E24" s="1">
        <v>19.757999999999999</v>
      </c>
      <c r="F24" s="1">
        <v>0.1241738356164379</v>
      </c>
      <c r="G24" s="1">
        <v>-8484.0446199008002</v>
      </c>
      <c r="H24" s="1">
        <v>-1349944.235577835</v>
      </c>
      <c r="I24" s="1">
        <v>1056737.7535999999</v>
      </c>
      <c r="J24" s="1">
        <v>1649477.7535999999</v>
      </c>
      <c r="K24" s="1">
        <v>173215.5762027397</v>
      </c>
      <c r="L24" s="1">
        <v>176940.7912712328</v>
      </c>
      <c r="M24" s="1" t="s">
        <v>152</v>
      </c>
      <c r="N24" s="1" t="s">
        <v>253</v>
      </c>
    </row>
    <row r="25" spans="1:14" ht="29" x14ac:dyDescent="0.35">
      <c r="A25" s="1" t="s">
        <v>132</v>
      </c>
      <c r="B25" s="1" t="s">
        <v>133</v>
      </c>
      <c r="C25" s="1" t="s">
        <v>154</v>
      </c>
      <c r="D25" s="1">
        <v>12</v>
      </c>
      <c r="E25" s="1">
        <v>1.998</v>
      </c>
      <c r="F25" s="1">
        <v>0.33032383561643791</v>
      </c>
      <c r="G25" s="1">
        <v>-83897.774574574563</v>
      </c>
      <c r="H25" s="1">
        <v>-507464.90421189071</v>
      </c>
      <c r="I25" s="1">
        <v>257537.7536</v>
      </c>
      <c r="J25" s="1">
        <v>317477.75360000011</v>
      </c>
      <c r="K25" s="1">
        <v>182492.3262027397</v>
      </c>
      <c r="L25" s="1">
        <v>192402.0412712328</v>
      </c>
      <c r="M25" s="1" t="s">
        <v>152</v>
      </c>
      <c r="N25" s="1" t="s">
        <v>253</v>
      </c>
    </row>
    <row r="26" spans="1:14" ht="29" x14ac:dyDescent="0.35">
      <c r="A26" s="1" t="s">
        <v>132</v>
      </c>
      <c r="B26" s="1" t="s">
        <v>133</v>
      </c>
      <c r="C26" s="1" t="s">
        <v>155</v>
      </c>
      <c r="D26" s="1">
        <v>12</v>
      </c>
      <c r="E26" s="1">
        <v>10.878</v>
      </c>
      <c r="F26" s="1">
        <v>0.33032383561643791</v>
      </c>
      <c r="G26" s="1">
        <v>-15409.795330023901</v>
      </c>
      <c r="H26" s="1">
        <v>-507464.90421189071</v>
      </c>
      <c r="I26" s="1">
        <v>657137.75359999994</v>
      </c>
      <c r="J26" s="1">
        <v>983477.75359999994</v>
      </c>
      <c r="K26" s="1">
        <v>182492.3262027397</v>
      </c>
      <c r="L26" s="1">
        <v>192402.0412712328</v>
      </c>
      <c r="M26" s="1" t="s">
        <v>152</v>
      </c>
      <c r="N26" s="1" t="s">
        <v>253</v>
      </c>
    </row>
    <row r="27" spans="1:14" ht="29" x14ac:dyDescent="0.35">
      <c r="A27" s="1" t="s">
        <v>132</v>
      </c>
      <c r="B27" s="1" t="s">
        <v>133</v>
      </c>
      <c r="C27" s="1" t="s">
        <v>156</v>
      </c>
      <c r="D27" s="1">
        <v>12</v>
      </c>
      <c r="E27" s="1">
        <v>28.638000000000002</v>
      </c>
      <c r="F27" s="1">
        <v>0.33032383561643791</v>
      </c>
      <c r="G27" s="1">
        <v>-5853.3331098540402</v>
      </c>
      <c r="H27" s="1">
        <v>-507464.90421189071</v>
      </c>
      <c r="I27" s="1">
        <v>1456337.7535999999</v>
      </c>
      <c r="J27" s="1">
        <v>2315477.7535999999</v>
      </c>
      <c r="K27" s="1">
        <v>182492.3262027397</v>
      </c>
      <c r="L27" s="1">
        <v>192402.0412712328</v>
      </c>
      <c r="M27" s="1" t="s">
        <v>152</v>
      </c>
      <c r="N27" s="1" t="s">
        <v>253</v>
      </c>
    </row>
    <row r="28" spans="1:14" ht="29" x14ac:dyDescent="0.35">
      <c r="A28" s="1" t="s">
        <v>132</v>
      </c>
      <c r="B28" s="1" t="s">
        <v>133</v>
      </c>
      <c r="C28" s="1" t="s">
        <v>157</v>
      </c>
      <c r="D28" s="1">
        <v>12</v>
      </c>
      <c r="E28" s="1">
        <v>10.878</v>
      </c>
      <c r="F28" s="1">
        <v>0.33032383561643791</v>
      </c>
      <c r="G28" s="1">
        <v>-15409.795330023901</v>
      </c>
      <c r="H28" s="1">
        <v>-507464.90421189071</v>
      </c>
      <c r="I28" s="1">
        <v>657137.75359999994</v>
      </c>
      <c r="J28" s="1">
        <v>983477.75359999994</v>
      </c>
      <c r="K28" s="1">
        <v>182492.3262027397</v>
      </c>
      <c r="L28" s="1">
        <v>192402.0412712328</v>
      </c>
      <c r="M28" s="1" t="s">
        <v>152</v>
      </c>
      <c r="N28" s="1" t="s">
        <v>253</v>
      </c>
    </row>
    <row r="29" spans="1:14" ht="29" x14ac:dyDescent="0.35">
      <c r="A29" s="1" t="s">
        <v>132</v>
      </c>
      <c r="B29" s="1" t="s">
        <v>133</v>
      </c>
      <c r="C29" s="1" t="s">
        <v>158</v>
      </c>
      <c r="D29" s="1">
        <v>12</v>
      </c>
      <c r="E29" s="1">
        <v>28.638000000000002</v>
      </c>
      <c r="F29" s="1">
        <v>0.33032383561643791</v>
      </c>
      <c r="G29" s="1">
        <v>-5853.3331098540393</v>
      </c>
      <c r="H29" s="1">
        <v>-507464.90421189071</v>
      </c>
      <c r="I29" s="1">
        <v>1456337.7535999999</v>
      </c>
      <c r="J29" s="1">
        <v>2315477.7535999999</v>
      </c>
      <c r="K29" s="1">
        <v>182492.3262027397</v>
      </c>
      <c r="L29" s="1">
        <v>192402.0412712328</v>
      </c>
      <c r="M29" s="1" t="s">
        <v>152</v>
      </c>
      <c r="N29" s="1" t="s">
        <v>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22" customWidth="1"/>
    <col min="5" max="5" width="23" customWidth="1"/>
    <col min="6" max="7" width="22" customWidth="1"/>
    <col min="8" max="10" width="42" customWidth="1"/>
  </cols>
  <sheetData>
    <row r="1" spans="1:10" ht="29" x14ac:dyDescent="0.35">
      <c r="A1" s="2" t="s">
        <v>159</v>
      </c>
      <c r="B1" s="2" t="s">
        <v>192</v>
      </c>
      <c r="C1" s="2" t="s">
        <v>193</v>
      </c>
      <c r="D1" s="2" t="s">
        <v>191</v>
      </c>
      <c r="E1" s="2" t="s">
        <v>194</v>
      </c>
      <c r="F1" s="2" t="s">
        <v>195</v>
      </c>
      <c r="G1" s="2" t="s">
        <v>190</v>
      </c>
      <c r="H1" s="2" t="s">
        <v>199</v>
      </c>
      <c r="I1" s="2" t="s">
        <v>254</v>
      </c>
      <c r="J1" s="2" t="s">
        <v>255</v>
      </c>
    </row>
    <row r="2" spans="1:10" x14ac:dyDescent="0.35">
      <c r="A2" s="5" t="str">
        <f>Strategy_Summary!A2</f>
        <v>Random</v>
      </c>
      <c r="B2" s="5">
        <f>Strategy_Summary!D2</f>
        <v>6.5860000000000003</v>
      </c>
      <c r="C2" s="5">
        <f>Strategy_Summary!E2</f>
        <v>0.11019999999999985</v>
      </c>
      <c r="D2" s="5">
        <f>Strategy_Summary!C2</f>
        <v>980043.83039999998</v>
      </c>
      <c r="E2" s="5">
        <f>Strategy_Summary!F2</f>
        <v>148807.14096568478</v>
      </c>
      <c r="F2" s="5">
        <f>Strategy_Summary!G2</f>
        <v>8893319.6950998306</v>
      </c>
      <c r="G2" s="5">
        <f>Strategy_Summary!B2</f>
        <v>4</v>
      </c>
      <c r="H2" s="5">
        <f>Strategy_Summary!K2</f>
        <v>55.366057485481882</v>
      </c>
      <c r="I2" s="5">
        <f>Strategy_Summary!L2</f>
        <v>0</v>
      </c>
      <c r="J2" s="5">
        <f>Economic_Calculations!BA2</f>
        <v>0.12303568330107084</v>
      </c>
    </row>
    <row r="3" spans="1:10" x14ac:dyDescent="0.35">
      <c r="A3" s="5" t="str">
        <f>Strategy_Summary!A3</f>
        <v>LTBI-targeted</v>
      </c>
      <c r="B3" s="5">
        <f>Strategy_Summary!D3</f>
        <v>18.111499999999999</v>
      </c>
      <c r="C3" s="5">
        <f>Strategy_Summary!E3</f>
        <v>0.3030499999999996</v>
      </c>
      <c r="D3" s="5">
        <f>Strategy_Summary!C3</f>
        <v>852279.38240000012</v>
      </c>
      <c r="E3" s="5">
        <f>Strategy_Summary!F3</f>
        <v>47057.360373243529</v>
      </c>
      <c r="F3" s="5">
        <f>Strategy_Summary!G3</f>
        <v>2812339.1598746125</v>
      </c>
      <c r="G3" s="5">
        <f>Strategy_Summary!B3</f>
        <v>11</v>
      </c>
      <c r="H3" s="5">
        <f>Strategy_Summary!K3</f>
        <v>55.669667204763215</v>
      </c>
      <c r="I3" s="5">
        <f>Strategy_Summary!L3</f>
        <v>0</v>
      </c>
      <c r="J3" s="5">
        <f>Economic_Calculations!BA3</f>
        <v>0.12371037156614048</v>
      </c>
    </row>
    <row r="4" spans="1:10" x14ac:dyDescent="0.35">
      <c r="A4" s="5" t="str">
        <f>Strategy_Summary!A4</f>
        <v>Cure-targeted</v>
      </c>
      <c r="B4" s="5">
        <f>Strategy_Summary!D4</f>
        <v>18.111499999999999</v>
      </c>
      <c r="C4" s="5">
        <f>Strategy_Summary!E4</f>
        <v>0.3030499999999996</v>
      </c>
      <c r="D4" s="5">
        <f>Strategy_Summary!C4</f>
        <v>852279.38240000012</v>
      </c>
      <c r="E4" s="5">
        <f>Strategy_Summary!F4</f>
        <v>47057.360373243529</v>
      </c>
      <c r="F4" s="5">
        <f>Strategy_Summary!G4</f>
        <v>2812339.1598746125</v>
      </c>
      <c r="G4" s="5">
        <f>Strategy_Summary!B4</f>
        <v>11</v>
      </c>
      <c r="H4" s="5">
        <f>Strategy_Summary!K4</f>
        <v>55.669667204763215</v>
      </c>
      <c r="I4" s="5">
        <f>Strategy_Summary!L4</f>
        <v>0</v>
      </c>
      <c r="J4" s="5">
        <f>Economic_Calculations!BA4</f>
        <v>0.12371037156614048</v>
      </c>
    </row>
    <row r="5" spans="1:10" x14ac:dyDescent="0.35">
      <c r="A5" s="5" t="str">
        <f>Strategy_Summary!A5</f>
        <v>Prevention-targeted</v>
      </c>
      <c r="B5" s="5">
        <f>Strategy_Summary!D5</f>
        <v>19.757999999999999</v>
      </c>
      <c r="C5" s="5">
        <f>Strategy_Summary!E5</f>
        <v>0.33059999999999956</v>
      </c>
      <c r="D5" s="5">
        <f>Strategy_Summary!C5</f>
        <v>832372.24640000006</v>
      </c>
      <c r="E5" s="5">
        <f>Strategy_Summary!F5</f>
        <v>42128.365543071166</v>
      </c>
      <c r="F5" s="5">
        <f>Strategy_Summary!G5</f>
        <v>2517762.3908046014</v>
      </c>
      <c r="G5" s="5">
        <f>Strategy_Summary!B5</f>
        <v>12</v>
      </c>
      <c r="H5" s="5">
        <f>Strategy_Summary!K5</f>
        <v>55.626294387723021</v>
      </c>
      <c r="I5" s="5">
        <f>Strategy_Summary!L5</f>
        <v>0</v>
      </c>
      <c r="J5" s="5">
        <f>Economic_Calculations!BA5</f>
        <v>0.12361398752827338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</cols>
  <sheetData>
    <row r="1" spans="1:1" ht="29" x14ac:dyDescent="0.35">
      <c r="A1" s="1" t="s">
        <v>256</v>
      </c>
    </row>
    <row r="2" spans="1:1" ht="29" x14ac:dyDescent="0.35">
      <c r="A2" s="1" t="s">
        <v>257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42" customWidth="1"/>
  </cols>
  <sheetData>
    <row r="1" spans="1:3" x14ac:dyDescent="0.35">
      <c r="A1" s="6"/>
      <c r="B1" s="6"/>
      <c r="C1" s="6"/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2" t="s">
        <v>258</v>
      </c>
      <c r="B10" s="2" t="s">
        <v>259</v>
      </c>
      <c r="C10" s="2" t="s">
        <v>25</v>
      </c>
    </row>
    <row r="11" spans="1:3" x14ac:dyDescent="0.35">
      <c r="A11" s="1" t="s">
        <v>260</v>
      </c>
      <c r="B11" s="5" t="e">
        <f ca="1">_xludf.ISFORMULA(Strategy_Summary!B2)</f>
        <v>#NAME?</v>
      </c>
      <c r="C11" s="1" t="s">
        <v>261</v>
      </c>
    </row>
    <row r="12" spans="1:3" x14ac:dyDescent="0.35">
      <c r="A12" s="1" t="s">
        <v>262</v>
      </c>
      <c r="B12" s="5" t="e">
        <f ca="1">_xludf.ISFORMULA(Chart_Data!B2)</f>
        <v>#NAME?</v>
      </c>
      <c r="C12" s="1" t="s">
        <v>261</v>
      </c>
    </row>
    <row r="13" spans="1:3" x14ac:dyDescent="0.35">
      <c r="A13" s="1" t="s">
        <v>263</v>
      </c>
      <c r="B13" s="1" t="s">
        <v>264</v>
      </c>
      <c r="C13" s="1" t="s">
        <v>265</v>
      </c>
    </row>
    <row r="14" spans="1:3" ht="29" x14ac:dyDescent="0.35">
      <c r="A14" s="1" t="s">
        <v>266</v>
      </c>
      <c r="B14" s="1" t="s">
        <v>267</v>
      </c>
      <c r="C14" s="1" t="s">
        <v>268</v>
      </c>
    </row>
    <row r="15" spans="1:3" ht="29" x14ac:dyDescent="0.35">
      <c r="A15" s="1" t="s">
        <v>269</v>
      </c>
      <c r="B15" s="1" t="s">
        <v>270</v>
      </c>
      <c r="C15" s="1" t="s">
        <v>271</v>
      </c>
    </row>
    <row r="16" spans="1:3" x14ac:dyDescent="0.35">
      <c r="A16" s="1" t="s">
        <v>272</v>
      </c>
      <c r="B16" s="1" t="s">
        <v>273</v>
      </c>
      <c r="C16" s="1" t="s">
        <v>274</v>
      </c>
    </row>
    <row r="17" spans="1:3" x14ac:dyDescent="0.35">
      <c r="A17" s="1" t="s">
        <v>275</v>
      </c>
      <c r="B17" s="5" t="b">
        <f>AND(Inputs_Assumptions!B7=0,Inputs_Assumptions!B8=0,Inputs_Assumptions!B9=0,Inputs_Assumptions!B10=0,Inputs_Assumptions!B11=0,Inputs_Assumptions!B12=0,Inputs_Assumptions!B13=0)</f>
        <v>0</v>
      </c>
      <c r="C17" s="1" t="s">
        <v>276</v>
      </c>
    </row>
    <row r="18" spans="1:3" ht="58" x14ac:dyDescent="0.35">
      <c r="A18" s="1" t="s">
        <v>277</v>
      </c>
      <c r="B18" s="1" t="s">
        <v>278</v>
      </c>
      <c r="C18" s="1" t="s">
        <v>279</v>
      </c>
    </row>
    <row r="19" spans="1:3" ht="29" x14ac:dyDescent="0.35">
      <c r="A19" s="1" t="s">
        <v>280</v>
      </c>
      <c r="B19" s="1" t="s">
        <v>281</v>
      </c>
      <c r="C19" s="1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Inputs_Assumptions</vt:lpstr>
      <vt:lpstr>Model_Outputs</vt:lpstr>
      <vt:lpstr>Economic_Calculations</vt:lpstr>
      <vt:lpstr>Strategy_Summary</vt:lpstr>
      <vt:lpstr>Cost_Saving_Check</vt:lpstr>
      <vt:lpstr>Decision_Tree</vt:lpstr>
      <vt:lpstr>Sensitivity</vt:lpstr>
      <vt:lpstr>Chart_Data</vt:lpstr>
      <vt:lpstr>Editable_Charts</vt:lpstr>
      <vt:lpstr>Formula_Audit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McBryde</cp:lastModifiedBy>
  <dcterms:created xsi:type="dcterms:W3CDTF">2026-06-03T01:42:51Z</dcterms:created>
  <dcterms:modified xsi:type="dcterms:W3CDTF">2026-06-03T06:32:40Z</dcterms:modified>
</cp:coreProperties>
</file>