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_Assumptions" sheetId="2" state="visible" r:id="rId2"/>
    <sheet xmlns:r="http://schemas.openxmlformats.org/officeDocument/2006/relationships" name="Strategy_Summary" sheetId="3" state="visible" r:id="rId3"/>
    <sheet xmlns:r="http://schemas.openxmlformats.org/officeDocument/2006/relationships" name="Cost_Saving_Check" sheetId="4" state="visible" r:id="rId4"/>
    <sheet xmlns:r="http://schemas.openxmlformats.org/officeDocument/2006/relationships" name="Decision_Tree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hart_Data" sheetId="7" state="visible" r:id="rId7"/>
    <sheet xmlns:r="http://schemas.openxmlformats.org/officeDocument/2006/relationships" name="Editable_Charts" sheetId="8" state="visible" r:id="rId8"/>
    <sheet xmlns:r="http://schemas.openxmlformats.org/officeDocument/2006/relationships" name="Cost_Outlay_Definitions" sheetId="9" state="visible" r:id="rId9"/>
    <sheet xmlns:r="http://schemas.openxmlformats.org/officeDocument/2006/relationships" name="Cost_Saving_Break_Ev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DALY averted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AUD per DALY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QALY gained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AUD per QALY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cost versus DALYs averted</a:t>
            </a:r>
          </a:p>
        </rich>
      </tx>
    </title>
    <plotArea>
      <scatterChart>
        <ser>
          <idx val="0"/>
          <order val="0"/>
          <tx>
            <v>Random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'Chart_Data'!$E$2</f>
            </numRef>
          </xVal>
          <yVal>
            <numRef>
              <f>'Chart_Data'!$D$2</f>
            </numRef>
          </yVal>
        </ser>
        <ser>
          <idx val="1"/>
          <order val="1"/>
          <tx>
            <v>LTBI-targeted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'Chart_Data'!$E$3</f>
            </numRef>
          </xVal>
          <yVal>
            <numRef>
              <f>'Chart_Data'!$D$3</f>
            </numRef>
          </yVal>
        </ser>
        <ser>
          <idx val="2"/>
          <order val="2"/>
          <tx>
            <v>Cure-targeted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'Chart_Data'!$E$4</f>
            </numRef>
          </xVal>
          <yVal>
            <numRef>
              <f>'Chart_Data'!$D$4</f>
            </numRef>
          </yVal>
        </ser>
        <ser>
          <idx val="3"/>
          <order val="3"/>
          <tx>
            <v>Prevention-targeted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'Chart_Data'!$E$5</f>
            </numRef>
          </xVal>
          <yVal>
            <numRef>
              <f>'Chart_Data'!$D$5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DALYs averted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cost vs baseline (AUD)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cost versus QALYs gained</a:t>
            </a:r>
          </a:p>
        </rich>
      </tx>
    </title>
    <plotArea>
      <scatterChart>
        <ser>
          <idx val="0"/>
          <order val="0"/>
          <tx>
            <v>Random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'Chart_Data'!$F$2</f>
            </numRef>
          </xVal>
          <yVal>
            <numRef>
              <f>'Chart_Data'!$D$2</f>
            </numRef>
          </yVal>
        </ser>
        <ser>
          <idx val="1"/>
          <order val="1"/>
          <tx>
            <v>LTBI-targeted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'Chart_Data'!$F$3</f>
            </numRef>
          </xVal>
          <yVal>
            <numRef>
              <f>'Chart_Data'!$D$3</f>
            </numRef>
          </yVal>
        </ser>
        <ser>
          <idx val="2"/>
          <order val="2"/>
          <tx>
            <v>Cure-targeted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'Chart_Data'!$F$4</f>
            </numRef>
          </xVal>
          <yVal>
            <numRef>
              <f>'Chart_Data'!$D$4</f>
            </numRef>
          </yVal>
        </ser>
        <ser>
          <idx val="3"/>
          <order val="3"/>
          <tx>
            <v>Prevention-targeted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'Chart_Data'!$F$5</f>
            </numRef>
          </xVal>
          <yVal>
            <numRef>
              <f>'Chart_Data'!$D$5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QALYs gained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cost vs baseline (AUD)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TB cases prevented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 prevented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Prevention-targeted DALY sensitivity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'Chart_Data'!$A$10:$A$16</f>
            </numRef>
          </cat>
          <val>
            <numRef>
              <f>'Chart_Data'!$B$10:$B$16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Sensitivity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per DALY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50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36</row>
      <rowOff>0</rowOff>
    </from>
    <ext cx="504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36</row>
      <rowOff>0</rowOff>
    </from>
    <ext cx="648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APY economics decision-tree and chart data workbook</t>
        </is>
      </c>
      <c r="B1" s="1" t="n"/>
    </row>
    <row r="2">
      <c r="A2" s="1" t="inlineStr">
        <is>
          <t>Purpose</t>
        </is>
      </c>
      <c r="B2" s="1" t="inlineStr">
        <is>
          <t>Offline paper/report economics audit. Not an online tool output.</t>
        </is>
      </c>
    </row>
    <row r="3">
      <c r="A3" s="1" t="inlineStr">
        <is>
          <t>Model framing</t>
        </is>
      </c>
      <c r="B3" s="1" t="inlineStr">
        <is>
          <t>Closed-cohort, person-level prevention model. Direct prevented TB cases only; downstream transmission effects are not included.</t>
        </is>
      </c>
    </row>
    <row r="4">
      <c r="A4" s="1" t="inlineStr">
        <is>
          <t>Cost-saving caveat</t>
        </is>
      </c>
      <c r="B4" s="1" t="inlineStr">
        <is>
          <t>Current outputs include testing and preventive treatment costs. Programme setup/running, outreach, travel, staff time, follow-up support, and false-positive incremental costs are zero unless supplied.</t>
        </is>
      </c>
    </row>
    <row r="5">
      <c r="A5" s="1" t="inlineStr">
        <is>
          <t>Word workflow</t>
        </is>
      </c>
      <c r="B5" s="1" t="inlineStr">
        <is>
          <t>Use Editable_Charts for Excel-native charts. Copy charts into Word via Paste Special as Microsoft Excel Chart Object or linked Excel Chart Object.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32" customWidth="1" min="3" max="3"/>
    <col width="22" customWidth="1" min="4" max="4"/>
  </cols>
  <sheetData>
    <row r="1">
      <c r="A1" s="2" t="inlineStr">
        <is>
          <t>Input</t>
        </is>
      </c>
      <c r="B1" s="2" t="inlineStr">
        <is>
          <t>Value</t>
        </is>
      </c>
      <c r="C1" s="2" t="inlineStr">
        <is>
          <t>Units/Source</t>
        </is>
      </c>
      <c r="D1" s="2" t="inlineStr">
        <is>
          <t>Status</t>
        </is>
      </c>
    </row>
    <row r="2">
      <c r="A2" s="1" t="inlineStr">
        <is>
          <t>N</t>
        </is>
      </c>
      <c r="B2" s="1" t="n">
        <v>1500</v>
      </c>
      <c r="C2" s="1" t="inlineStr">
        <is>
          <t>people</t>
        </is>
      </c>
      <c r="D2" s="1" t="inlineStr">
        <is>
          <t>fixed output setting</t>
        </is>
      </c>
    </row>
    <row r="3">
      <c r="A3" s="1" t="inlineStr">
        <is>
          <t>screenCoverage</t>
        </is>
      </c>
      <c r="B3" s="1" t="n">
        <v>0.3</v>
      </c>
      <c r="C3" s="1" t="inlineStr">
        <is>
          <t>proportion</t>
        </is>
      </c>
      <c r="D3" s="1" t="inlineStr">
        <is>
          <t>fixed output setting</t>
        </is>
      </c>
    </row>
    <row r="4">
      <c r="A4" s="1" t="inlineStr">
        <is>
          <t>screenWindow</t>
        </is>
      </c>
      <c r="B4" s="1" t="n">
        <v>2</v>
      </c>
      <c r="C4" s="1" t="inlineStr">
        <is>
          <t>years</t>
        </is>
      </c>
      <c r="D4" s="1" t="inlineStr">
        <is>
          <t>fixed output setting</t>
        </is>
      </c>
    </row>
    <row r="5">
      <c r="A5" s="1" t="inlineStr">
        <is>
          <t>followHorizon</t>
        </is>
      </c>
      <c r="B5" s="1" t="n">
        <v>20</v>
      </c>
      <c r="C5" s="1" t="inlineStr">
        <is>
          <t>years</t>
        </is>
      </c>
      <c r="D5" s="1" t="inlineStr">
        <is>
          <t>fixed output setting</t>
        </is>
      </c>
    </row>
    <row r="6">
      <c r="A6" s="1" t="inlineStr">
        <is>
          <t>testType</t>
        </is>
      </c>
      <c r="B6" s="1" t="inlineStr">
        <is>
          <t>IGRA</t>
        </is>
      </c>
      <c r="C6" s="1" t="inlineStr">
        <is>
          <t>APY setting</t>
        </is>
      </c>
      <c r="D6" s="1" t="inlineStr">
        <is>
          <t>fixed output setting</t>
        </is>
      </c>
    </row>
    <row r="7">
      <c r="A7" s="1" t="inlineStr">
        <is>
          <t>regimen</t>
        </is>
      </c>
      <c r="B7" s="1" t="inlineStr">
        <is>
          <t>3HP</t>
        </is>
      </c>
      <c r="C7" s="1" t="inlineStr">
        <is>
          <t>APY setting</t>
        </is>
      </c>
      <c r="D7" s="1" t="inlineStr">
        <is>
          <t>fixed output setting</t>
        </is>
      </c>
    </row>
    <row r="8">
      <c r="A8" s="1" t="inlineStr">
        <is>
          <t>IGRA cost</t>
        </is>
      </c>
      <c r="B8" s="1" t="n">
        <v>113.48</v>
      </c>
      <c r="C8" s="1" t="inlineStr">
        <is>
          <t>AUD 2019 KWAB150/Dale-informed</t>
        </is>
      </c>
      <c r="D8" s="1" t="inlineStr">
        <is>
          <t>reviewable</t>
        </is>
      </c>
    </row>
    <row r="9">
      <c r="A9" s="1" t="inlineStr">
        <is>
          <t>TST cost</t>
        </is>
      </c>
      <c r="B9" s="1" t="n">
        <v>116.07</v>
      </c>
      <c r="C9" s="1" t="inlineStr">
        <is>
          <t>AUD 2019 KWAB150/Dale-informed</t>
        </is>
      </c>
      <c r="D9" s="1" t="inlineStr">
        <is>
          <t>reviewable</t>
        </is>
      </c>
    </row>
    <row r="10">
      <c r="A10" s="1" t="inlineStr">
        <is>
          <t>3HP cost</t>
        </is>
      </c>
      <c r="B10" s="1" t="n">
        <v>165.5072</v>
      </c>
      <c r="C10" s="1" t="inlineStr">
        <is>
          <t>AUD 2019 KWAB150/Dale-informed</t>
        </is>
      </c>
      <c r="D10" s="1" t="inlineStr">
        <is>
          <t>reviewable</t>
        </is>
      </c>
    </row>
    <row r="11">
      <c r="A11" s="1" t="inlineStr">
        <is>
          <t>4R cost</t>
        </is>
      </c>
      <c r="B11" s="1" t="n">
        <v>123.3172</v>
      </c>
      <c r="C11" s="1" t="inlineStr">
        <is>
          <t>AUD 2019 KWAB150/Dale-informed</t>
        </is>
      </c>
      <c r="D11" s="1" t="inlineStr">
        <is>
          <t>reviewable</t>
        </is>
      </c>
    </row>
    <row r="12">
      <c r="A12" s="1" t="inlineStr">
        <is>
          <t>active TB disease cost per case</t>
        </is>
      </c>
      <c r="B12" s="1" t="n">
        <v>19079.6</v>
      </c>
      <c r="C12" s="1" t="inlineStr">
        <is>
          <t>AUD 2019 KWAB150/Dale-informed</t>
        </is>
      </c>
      <c r="D12" s="1" t="inlineStr">
        <is>
          <t>reviewable</t>
        </is>
      </c>
    </row>
    <row r="13">
      <c r="A13" s="3" t="inlineStr">
        <is>
          <t>programme setup cost</t>
        </is>
      </c>
      <c r="B13" s="3" t="n">
        <v>0</v>
      </c>
      <c r="C13" s="3" t="inlineStr">
        <is>
          <t>AUD; currently omitted</t>
        </is>
      </c>
      <c r="D13" s="3" t="inlineStr">
        <is>
          <t>UNRESOLVED</t>
        </is>
      </c>
    </row>
    <row r="14">
      <c r="A14" s="3" t="inlineStr">
        <is>
          <t>programme running cost</t>
        </is>
      </c>
      <c r="B14" s="3" t="n">
        <v>0</v>
      </c>
      <c r="C14" s="3" t="inlineStr">
        <is>
          <t>AUD; currently omitted</t>
        </is>
      </c>
      <c r="D14" s="3" t="inlineStr">
        <is>
          <t>UNRESOLVED</t>
        </is>
      </c>
    </row>
    <row r="15">
      <c r="A15" s="3" t="inlineStr">
        <is>
          <t>false-positive incremental cost</t>
        </is>
      </c>
      <c r="B15" s="3" t="n">
        <v>0</v>
      </c>
      <c r="C15" s="3" t="inlineStr">
        <is>
          <t>AUD/person; currently omitted</t>
        </is>
      </c>
      <c r="D15" s="3" t="inlineStr">
        <is>
          <t>UNRESOLVED</t>
        </is>
      </c>
    </row>
    <row r="16">
      <c r="A16" s="1" t="inlineStr">
        <is>
          <t>active TB disability weight</t>
        </is>
      </c>
      <c r="B16" s="1" t="n">
        <v>0.333</v>
      </c>
      <c r="C16" s="1" t="inlineStr">
        <is>
          <t>GBD-style/Dale-informed</t>
        </is>
      </c>
      <c r="D16" s="1" t="inlineStr">
        <is>
          <t>reviewable</t>
        </is>
      </c>
    </row>
    <row r="17">
      <c r="A17" s="1" t="inlineStr">
        <is>
          <t>active TB duration</t>
        </is>
      </c>
      <c r="B17" s="1" t="n">
        <v>0.5</v>
      </c>
      <c r="C17" s="1" t="inlineStr">
        <is>
          <t>years</t>
        </is>
      </c>
      <c r="D17" s="1" t="inlineStr">
        <is>
          <t>reviewable</t>
        </is>
      </c>
    </row>
    <row r="18">
      <c r="A18" s="3" t="inlineStr">
        <is>
          <t>TB case fatality risk</t>
        </is>
      </c>
      <c r="B18" s="3" t="n">
        <v>0.074</v>
      </c>
      <c r="C18" s="3" t="inlineStr">
        <is>
          <t>configurable assumption</t>
        </is>
      </c>
      <c r="D18" s="3" t="inlineStr">
        <is>
          <t>UNRESOLVED</t>
        </is>
      </c>
    </row>
    <row r="19">
      <c r="A19" s="3" t="inlineStr">
        <is>
          <t>YLL per TB death</t>
        </is>
      </c>
      <c r="B19" s="3" t="n">
        <v>20</v>
      </c>
      <c r="C19" s="3" t="inlineStr">
        <is>
          <t>configurable assumption</t>
        </is>
      </c>
      <c r="D19" s="3" t="inlineStr">
        <is>
          <t>UNRESOLVED</t>
        </is>
      </c>
    </row>
    <row r="20">
      <c r="A20" s="1" t="inlineStr">
        <is>
          <t>healthy/LTBI utility</t>
        </is>
      </c>
      <c r="B20" s="1" t="n">
        <v>0.8733</v>
      </c>
      <c r="C20" s="1" t="inlineStr">
        <is>
          <t>Dale-informed</t>
        </is>
      </c>
      <c r="D20" s="1" t="inlineStr">
        <is>
          <t>reviewable</t>
        </is>
      </c>
    </row>
    <row r="21">
      <c r="A21" s="1" t="inlineStr">
        <is>
          <t>active TB utility</t>
        </is>
      </c>
      <c r="B21" s="1" t="n">
        <v>0.8182</v>
      </c>
      <c r="C21" s="1" t="inlineStr">
        <is>
          <t>Dale-informed</t>
        </is>
      </c>
      <c r="D21" s="1" t="inlineStr">
        <is>
          <t>reviewable</t>
        </is>
      </c>
    </row>
    <row r="22">
      <c r="A22" s="1" t="inlineStr">
        <is>
          <t>SAE utility</t>
        </is>
      </c>
      <c r="B22" s="1" t="n">
        <v>0.8685</v>
      </c>
      <c r="C22" s="1" t="inlineStr">
        <is>
          <t>Dale-informed</t>
        </is>
      </c>
      <c r="D22" s="1" t="inlineStr">
        <is>
          <t>reviewable</t>
        </is>
      </c>
    </row>
    <row r="23">
      <c r="A23" s="3" t="inlineStr">
        <is>
          <t>LTBI treatment decrement</t>
        </is>
      </c>
      <c r="B23" s="3" t="n">
        <v>0</v>
      </c>
      <c r="C23" s="3" t="inlineStr">
        <is>
          <t>base case; 0.0133 sensitivity</t>
        </is>
      </c>
      <c r="D23" s="3" t="inlineStr">
        <is>
          <t>UNRESOLVED</t>
        </is>
      </c>
    </row>
    <row r="24">
      <c r="A24" s="1" t="inlineStr">
        <is>
          <t>WTP threshold low</t>
        </is>
      </c>
      <c r="B24" s="1" t="n">
        <v>45000</v>
      </c>
      <c r="C24" s="1" t="inlineStr">
        <is>
          <t>AUD/QALY or AUD/DALY</t>
        </is>
      </c>
      <c r="D24" s="1" t="inlineStr">
        <is>
          <t>reviewable</t>
        </is>
      </c>
    </row>
    <row r="25">
      <c r="A25" s="1" t="inlineStr">
        <is>
          <t>WTP threshold high</t>
        </is>
      </c>
      <c r="B25" s="1" t="n">
        <v>75000</v>
      </c>
      <c r="C25" s="1" t="inlineStr">
        <is>
          <t>AUD/QALY or AUD/DALY</t>
        </is>
      </c>
      <c r="D25" s="1" t="inlineStr">
        <is>
          <t>reviewable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5" customWidth="1" min="9" max="9"/>
    <col width="18" customWidth="1" min="10" max="10"/>
    <col width="29" customWidth="1" min="11" max="11"/>
    <col width="31" customWidth="1" min="12" max="12"/>
    <col width="30" customWidth="1" min="13" max="13"/>
    <col width="24" customWidth="1" min="14" max="14"/>
    <col width="27" customWidth="1" min="15" max="15"/>
    <col width="31" customWidth="1" min="16" max="16"/>
    <col width="35" customWidth="1" min="17" max="17"/>
    <col width="29" customWidth="1" min="18" max="18"/>
    <col width="14" customWidth="1" min="19" max="19"/>
    <col width="15" customWidth="1" min="20" max="20"/>
    <col width="23" customWidth="1" min="21" max="21"/>
    <col width="18" customWidth="1" min="22" max="22"/>
    <col width="21" customWidth="1" min="23" max="23"/>
    <col width="18" customWidth="1" min="24" max="24"/>
    <col width="20" customWidth="1" min="25" max="25"/>
    <col width="20" customWidth="1" min="26" max="26"/>
    <col width="20" customWidth="1" min="27" max="27"/>
    <col width="14" customWidth="1" min="28" max="28"/>
    <col width="21" customWidth="1" min="29" max="29"/>
    <col width="24" customWidth="1" min="30" max="30"/>
    <col width="20" customWidth="1" min="31" max="31"/>
    <col width="21" customWidth="1" min="32" max="32"/>
    <col width="15" customWidth="1" min="33" max="33"/>
    <col width="15" customWidth="1" min="34" max="34"/>
    <col width="20" customWidth="1" min="35" max="35"/>
    <col width="20" customWidth="1" min="36" max="36"/>
    <col width="22" customWidth="1" min="37" max="37"/>
    <col width="38" customWidth="1" min="38" max="38"/>
  </cols>
  <sheetData>
    <row r="1">
      <c r="A1" s="2" t="inlineStr">
        <is>
          <t>scenario_id</t>
        </is>
      </c>
      <c r="B1" s="2" t="inlineStr">
        <is>
          <t>screeningStrategy</t>
        </is>
      </c>
      <c r="C1" s="2" t="inlineStr">
        <is>
          <t>testType</t>
        </is>
      </c>
      <c r="D1" s="2" t="inlineStr">
        <is>
          <t>regimen</t>
        </is>
      </c>
      <c r="E1" s="2" t="inlineStr">
        <is>
          <t>N</t>
        </is>
      </c>
      <c r="F1" s="2" t="inlineStr">
        <is>
          <t>nReps</t>
        </is>
      </c>
      <c r="G1" s="2" t="inlineStr">
        <is>
          <t>screenCoverage</t>
        </is>
      </c>
      <c r="H1" s="2" t="inlineStr">
        <is>
          <t>screenWindow</t>
        </is>
      </c>
      <c r="I1" s="2" t="inlineStr">
        <is>
          <t>followHorizon</t>
        </is>
      </c>
      <c r="J1" s="2" t="inlineStr">
        <is>
          <t>nScreened_median</t>
        </is>
      </c>
      <c r="K1" s="2" t="inlineStr">
        <is>
          <t>nTotalCoursesStarted_median</t>
        </is>
      </c>
      <c r="L1" s="2" t="inlineStr">
        <is>
          <t>nTotalCoursesCompleted_median</t>
        </is>
      </c>
      <c r="M1" s="2" t="inlineStr">
        <is>
          <t>nFalsePositiveTreated_median</t>
        </is>
      </c>
      <c r="N1" s="2" t="inlineStr">
        <is>
          <t>nCuredInfection_median</t>
        </is>
      </c>
      <c r="O1" s="2" t="inlineStr">
        <is>
          <t>nPreventedActiveTB_median</t>
        </is>
      </c>
      <c r="P1" s="2" t="inlineStr">
        <is>
          <t>nActiveBy20y_DoNothing_median</t>
        </is>
      </c>
      <c r="Q1" s="2" t="inlineStr">
        <is>
          <t>nActiveBy20y_AfterStrategy_median</t>
        </is>
      </c>
      <c r="R1" s="2" t="inlineStr">
        <is>
          <t>relativeReduction20y_median</t>
        </is>
      </c>
      <c r="S1" s="2" t="inlineStr">
        <is>
          <t>testingCost</t>
        </is>
      </c>
      <c r="T1" s="2" t="inlineStr">
        <is>
          <t>treatmentCost</t>
        </is>
      </c>
      <c r="U1" s="2" t="inlineStr">
        <is>
          <t>tbDiseaseCostsAverted</t>
        </is>
      </c>
      <c r="V1" s="2" t="inlineStr">
        <is>
          <t>totalProgramCost</t>
        </is>
      </c>
      <c r="W1" s="2" t="inlineStr">
        <is>
          <t>netCostVsBaseline</t>
        </is>
      </c>
      <c r="X1" s="2" t="inlineStr">
        <is>
          <t>tbCasesPrevented</t>
        </is>
      </c>
      <c r="Y1" s="2" t="inlineStr">
        <is>
          <t>tbDeathsPrevented</t>
        </is>
      </c>
      <c r="Z1" s="2" t="inlineStr">
        <is>
          <t>yldAverted</t>
        </is>
      </c>
      <c r="AA1" s="2" t="inlineStr">
        <is>
          <t>yllAverted</t>
        </is>
      </c>
      <c r="AB1" s="2" t="inlineStr">
        <is>
          <t>dalysAverted</t>
        </is>
      </c>
      <c r="AC1" s="2" t="inlineStr">
        <is>
          <t>qalysGained</t>
        </is>
      </c>
      <c r="AD1" s="2" t="inlineStr">
        <is>
          <t>costPerTBCasePrevented</t>
        </is>
      </c>
      <c r="AE1" s="2" t="inlineStr">
        <is>
          <t>costPerDALYAverted</t>
        </is>
      </c>
      <c r="AF1" s="2" t="inlineStr">
        <is>
          <t>costPerQALYGained</t>
        </is>
      </c>
      <c r="AG1" s="2" t="inlineStr">
        <is>
          <t>nmbDALY_45000</t>
        </is>
      </c>
      <c r="AH1" s="2" t="inlineStr">
        <is>
          <t>nmbDALY_75000</t>
        </is>
      </c>
      <c r="AI1" s="2" t="inlineStr">
        <is>
          <t>nmbQALY_45000</t>
        </is>
      </c>
      <c r="AJ1" s="2" t="inlineStr">
        <is>
          <t>nmbQALY_75000</t>
        </is>
      </c>
      <c r="AK1" s="2" t="inlineStr">
        <is>
          <t>dominance_status</t>
        </is>
      </c>
      <c r="AL1" s="2" t="inlineStr">
        <is>
          <t>notes</t>
        </is>
      </c>
    </row>
    <row r="2">
      <c r="A2" s="1" t="inlineStr">
        <is>
          <t>apy_paper_random_igra_3hp</t>
        </is>
      </c>
      <c r="B2" s="1" t="inlineStr">
        <is>
          <t>random</t>
        </is>
      </c>
      <c r="C2" s="1" t="inlineStr">
        <is>
          <t>IGRA</t>
        </is>
      </c>
      <c r="D2" s="1" t="inlineStr">
        <is>
          <t>3HP</t>
        </is>
      </c>
      <c r="E2" s="1" t="inlineStr">
        <is>
          <t>1500</t>
        </is>
      </c>
      <c r="F2" s="1" t="inlineStr">
        <is>
          <t>2000</t>
        </is>
      </c>
      <c r="G2" s="1" t="inlineStr">
        <is>
          <t>0.3</t>
        </is>
      </c>
      <c r="H2" s="1" t="inlineStr">
        <is>
          <t>2</t>
        </is>
      </c>
      <c r="I2" s="1" t="inlineStr">
        <is>
          <t>20</t>
        </is>
      </c>
      <c r="J2" s="1" t="inlineStr">
        <is>
          <t>450.0</t>
        </is>
      </c>
      <c r="K2" s="1" t="inlineStr">
        <is>
          <t>32.0</t>
        </is>
      </c>
      <c r="L2" s="1" t="inlineStr">
        <is>
          <t>25.0</t>
        </is>
      </c>
      <c r="M2" s="1" t="inlineStr">
        <is>
          <t>7.0</t>
        </is>
      </c>
      <c r="N2" s="1" t="inlineStr">
        <is>
          <t>16.0</t>
        </is>
      </c>
      <c r="O2" s="1" t="inlineStr">
        <is>
          <t>4.0</t>
        </is>
      </c>
      <c r="P2" s="1" t="inlineStr">
        <is>
          <t>37.0</t>
        </is>
      </c>
      <c r="Q2" s="1" t="inlineStr">
        <is>
          <t>33.0</t>
        </is>
      </c>
      <c r="R2" s="1" t="inlineStr">
        <is>
          <t>0.10526315789473684</t>
        </is>
      </c>
      <c r="S2" s="1" t="inlineStr">
        <is>
          <t>51066.0</t>
        </is>
      </c>
      <c r="T2" s="1" t="inlineStr">
        <is>
          <t>5296.2304</t>
        </is>
      </c>
      <c r="U2" s="1" t="inlineStr">
        <is>
          <t>76318.4</t>
        </is>
      </c>
      <c r="V2" s="1" t="inlineStr">
        <is>
          <t>56362.2304</t>
        </is>
      </c>
      <c r="W2" s="1" t="inlineStr">
        <is>
          <t>-19956.169599999994</t>
        </is>
      </c>
      <c r="X2" s="1" t="inlineStr">
        <is>
          <t>4.0</t>
        </is>
      </c>
      <c r="Y2" s="1" t="inlineStr">
        <is>
          <t>0.296</t>
        </is>
      </c>
      <c r="Z2" s="1" t="inlineStr">
        <is>
          <t>0.666</t>
        </is>
      </c>
      <c r="AA2" s="1" t="inlineStr">
        <is>
          <t>5.92</t>
        </is>
      </c>
      <c r="AB2" s="1" t="inlineStr">
        <is>
          <t>6.586</t>
        </is>
      </c>
      <c r="AC2" s="1" t="inlineStr">
        <is>
          <t>0.11010794520547931</t>
        </is>
      </c>
      <c r="AD2" s="1" t="inlineStr">
        <is>
          <t>-4989.042399999998</t>
        </is>
      </c>
      <c r="AE2" s="1" t="inlineStr">
        <is>
          <t>-3030.089523231095</t>
        </is>
      </c>
      <c r="AF2" s="1" t="inlineStr">
        <is>
          <t>-181241.86735805977</t>
        </is>
      </c>
      <c r="AG2" s="1" t="inlineStr">
        <is>
          <t>316326.1696</t>
        </is>
      </c>
      <c r="AH2" s="1" t="inlineStr">
        <is>
          <t>513906.1696</t>
        </is>
      </c>
      <c r="AI2" s="1" t="inlineStr">
        <is>
          <t>24911.027134246564</t>
        </is>
      </c>
      <c r="AJ2" s="1" t="inlineStr">
        <is>
          <t>28214.265490410944</t>
        </is>
      </c>
      <c r="AK2" s="1" t="inlineStr">
        <is>
          <t>dominant_cost_saving</t>
        </is>
      </c>
      <c r="AL2" s="1" t="inlineStr">
        <is>
          <t>Direct person-level prevented cases; no downstream transmission effects.</t>
        </is>
      </c>
    </row>
    <row r="3">
      <c r="A3" s="1" t="inlineStr">
        <is>
          <t>apy_paper_ltbi_igra_3hp</t>
        </is>
      </c>
      <c r="B3" s="1" t="inlineStr">
        <is>
          <t>ltbi</t>
        </is>
      </c>
      <c r="C3" s="1" t="inlineStr">
        <is>
          <t>IGRA</t>
        </is>
      </c>
      <c r="D3" s="1" t="inlineStr">
        <is>
          <t>3HP</t>
        </is>
      </c>
      <c r="E3" s="1" t="inlineStr">
        <is>
          <t>1500</t>
        </is>
      </c>
      <c r="F3" s="1" t="inlineStr">
        <is>
          <t>2000</t>
        </is>
      </c>
      <c r="G3" s="1" t="inlineStr">
        <is>
          <t>0.3</t>
        </is>
      </c>
      <c r="H3" s="1" t="inlineStr">
        <is>
          <t>2</t>
        </is>
      </c>
      <c r="I3" s="1" t="inlineStr">
        <is>
          <t>20</t>
        </is>
      </c>
      <c r="J3" s="1" t="inlineStr">
        <is>
          <t>450.0</t>
        </is>
      </c>
      <c r="K3" s="1" t="inlineStr">
        <is>
          <t>67.0</t>
        </is>
      </c>
      <c r="L3" s="1" t="inlineStr">
        <is>
          <t>54.0</t>
        </is>
      </c>
      <c r="M3" s="1" t="inlineStr">
        <is>
          <t>6.0</t>
        </is>
      </c>
      <c r="N3" s="1" t="inlineStr">
        <is>
          <t>40.0</t>
        </is>
      </c>
      <c r="O3" s="1" t="inlineStr">
        <is>
          <t>11.0</t>
        </is>
      </c>
      <c r="P3" s="1" t="inlineStr">
        <is>
          <t>37.0</t>
        </is>
      </c>
      <c r="Q3" s="1" t="inlineStr">
        <is>
          <t>26.0</t>
        </is>
      </c>
      <c r="R3" s="1" t="inlineStr">
        <is>
          <t>0.30434782608695654</t>
        </is>
      </c>
      <c r="S3" s="1" t="inlineStr">
        <is>
          <t>51066.0</t>
        </is>
      </c>
      <c r="T3" s="1" t="inlineStr">
        <is>
          <t>11088.9824</t>
        </is>
      </c>
      <c r="U3" s="1" t="inlineStr">
        <is>
          <t>209875.59999999998</t>
        </is>
      </c>
      <c r="V3" s="1" t="inlineStr">
        <is>
          <t>62154.9824</t>
        </is>
      </c>
      <c r="W3" s="1" t="inlineStr">
        <is>
          <t>-147720.61759999997</t>
        </is>
      </c>
      <c r="X3" s="1" t="inlineStr">
        <is>
          <t>11.0</t>
        </is>
      </c>
      <c r="Y3" s="1" t="inlineStr">
        <is>
          <t>0.814</t>
        </is>
      </c>
      <c r="Z3" s="1" t="inlineStr">
        <is>
          <t>1.8315000000000001</t>
        </is>
      </c>
      <c r="AA3" s="1" t="inlineStr">
        <is>
          <t>16.279999999999998</t>
        </is>
      </c>
      <c r="AB3" s="1" t="inlineStr">
        <is>
          <t>18.1115</t>
        </is>
      </c>
      <c r="AC3" s="1" t="inlineStr">
        <is>
          <t>0.30277383561643795</t>
        </is>
      </c>
      <c r="AD3" s="1" t="inlineStr">
        <is>
          <t>-13429.147054545452</t>
        </is>
      </c>
      <c r="AE3" s="1" t="inlineStr">
        <is>
          <t>-8156.177986362254</t>
        </is>
      </c>
      <c r="AF3" s="1" t="inlineStr">
        <is>
          <t>-487890.96091888344</t>
        </is>
      </c>
      <c r="AG3" s="1" t="inlineStr">
        <is>
          <t>962738.1176</t>
        </is>
      </c>
      <c r="AH3" s="1" t="inlineStr">
        <is>
          <t>1506083.1176</t>
        </is>
      </c>
      <c r="AI3" s="1" t="inlineStr">
        <is>
          <t>161345.44020273967</t>
        </is>
      </c>
      <c r="AJ3" s="1" t="inlineStr">
        <is>
          <t>170428.65527123283</t>
        </is>
      </c>
      <c r="AK3" s="1" t="inlineStr">
        <is>
          <t>dominant_cost_saving</t>
        </is>
      </c>
      <c r="AL3" s="1" t="inlineStr">
        <is>
          <t>Direct person-level prevented cases; no downstream transmission effects.</t>
        </is>
      </c>
    </row>
    <row r="4">
      <c r="A4" s="1" t="inlineStr">
        <is>
          <t>apy_paper_cure_igra_3hp</t>
        </is>
      </c>
      <c r="B4" s="1" t="inlineStr">
        <is>
          <t>cure</t>
        </is>
      </c>
      <c r="C4" s="1" t="inlineStr">
        <is>
          <t>IGRA</t>
        </is>
      </c>
      <c r="D4" s="1" t="inlineStr">
        <is>
          <t>3HP</t>
        </is>
      </c>
      <c r="E4" s="1" t="inlineStr">
        <is>
          <t>1500</t>
        </is>
      </c>
      <c r="F4" s="1" t="inlineStr">
        <is>
          <t>2000</t>
        </is>
      </c>
      <c r="G4" s="1" t="inlineStr">
        <is>
          <t>0.3</t>
        </is>
      </c>
      <c r="H4" s="1" t="inlineStr">
        <is>
          <t>2</t>
        </is>
      </c>
      <c r="I4" s="1" t="inlineStr">
        <is>
          <t>20</t>
        </is>
      </c>
      <c r="J4" s="1" t="inlineStr">
        <is>
          <t>450.0</t>
        </is>
      </c>
      <c r="K4" s="1" t="inlineStr">
        <is>
          <t>67.0</t>
        </is>
      </c>
      <c r="L4" s="1" t="inlineStr">
        <is>
          <t>54.0</t>
        </is>
      </c>
      <c r="M4" s="1" t="inlineStr">
        <is>
          <t>6.0</t>
        </is>
      </c>
      <c r="N4" s="1" t="inlineStr">
        <is>
          <t>40.0</t>
        </is>
      </c>
      <c r="O4" s="1" t="inlineStr">
        <is>
          <t>11.0</t>
        </is>
      </c>
      <c r="P4" s="1" t="inlineStr">
        <is>
          <t>37.0</t>
        </is>
      </c>
      <c r="Q4" s="1" t="inlineStr">
        <is>
          <t>26.0</t>
        </is>
      </c>
      <c r="R4" s="1" t="inlineStr">
        <is>
          <t>0.2972972972972973</t>
        </is>
      </c>
      <c r="S4" s="1" t="inlineStr">
        <is>
          <t>51066.0</t>
        </is>
      </c>
      <c r="T4" s="1" t="inlineStr">
        <is>
          <t>11088.9824</t>
        </is>
      </c>
      <c r="U4" s="1" t="inlineStr">
        <is>
          <t>209875.59999999998</t>
        </is>
      </c>
      <c r="V4" s="1" t="inlineStr">
        <is>
          <t>62154.9824</t>
        </is>
      </c>
      <c r="W4" s="1" t="inlineStr">
        <is>
          <t>-147720.61759999997</t>
        </is>
      </c>
      <c r="X4" s="1" t="inlineStr">
        <is>
          <t>11.0</t>
        </is>
      </c>
      <c r="Y4" s="1" t="inlineStr">
        <is>
          <t>0.814</t>
        </is>
      </c>
      <c r="Z4" s="1" t="inlineStr">
        <is>
          <t>1.8315000000000001</t>
        </is>
      </c>
      <c r="AA4" s="1" t="inlineStr">
        <is>
          <t>16.279999999999998</t>
        </is>
      </c>
      <c r="AB4" s="1" t="inlineStr">
        <is>
          <t>18.1115</t>
        </is>
      </c>
      <c r="AC4" s="1" t="inlineStr">
        <is>
          <t>0.30277383561643795</t>
        </is>
      </c>
      <c r="AD4" s="1" t="inlineStr">
        <is>
          <t>-13429.147054545452</t>
        </is>
      </c>
      <c r="AE4" s="1" t="inlineStr">
        <is>
          <t>-8156.177986362254</t>
        </is>
      </c>
      <c r="AF4" s="1" t="inlineStr">
        <is>
          <t>-487890.96091888344</t>
        </is>
      </c>
      <c r="AG4" s="1" t="inlineStr">
        <is>
          <t>962738.1176</t>
        </is>
      </c>
      <c r="AH4" s="1" t="inlineStr">
        <is>
          <t>1506083.1176</t>
        </is>
      </c>
      <c r="AI4" s="1" t="inlineStr">
        <is>
          <t>161345.44020273967</t>
        </is>
      </c>
      <c r="AJ4" s="1" t="inlineStr">
        <is>
          <t>170428.65527123283</t>
        </is>
      </c>
      <c r="AK4" s="1" t="inlineStr">
        <is>
          <t>dominant_cost_saving</t>
        </is>
      </c>
      <c r="AL4" s="1" t="inlineStr">
        <is>
          <t>Direct person-level prevented cases; no downstream transmission effects.</t>
        </is>
      </c>
    </row>
    <row r="5">
      <c r="A5" s="1" t="inlineStr">
        <is>
          <t>apy_paper_prevent_igra_3hp</t>
        </is>
      </c>
      <c r="B5" s="1" t="inlineStr">
        <is>
          <t>prevent</t>
        </is>
      </c>
      <c r="C5" s="1" t="inlineStr">
        <is>
          <t>IGRA</t>
        </is>
      </c>
      <c r="D5" s="1" t="inlineStr">
        <is>
          <t>3HP</t>
        </is>
      </c>
      <c r="E5" s="1" t="inlineStr">
        <is>
          <t>1500</t>
        </is>
      </c>
      <c r="F5" s="1" t="inlineStr">
        <is>
          <t>2000</t>
        </is>
      </c>
      <c r="G5" s="1" t="inlineStr">
        <is>
          <t>0.3</t>
        </is>
      </c>
      <c r="H5" s="1" t="inlineStr">
        <is>
          <t>2</t>
        </is>
      </c>
      <c r="I5" s="1" t="inlineStr">
        <is>
          <t>20</t>
        </is>
      </c>
      <c r="J5" s="1" t="inlineStr">
        <is>
          <t>450.0</t>
        </is>
      </c>
      <c r="K5" s="1" t="inlineStr">
        <is>
          <t>62.0</t>
        </is>
      </c>
      <c r="L5" s="1" t="inlineStr">
        <is>
          <t>50.0</t>
        </is>
      </c>
      <c r="M5" s="1" t="inlineStr">
        <is>
          <t>6.0</t>
        </is>
      </c>
      <c r="N5" s="1" t="inlineStr">
        <is>
          <t>37.0</t>
        </is>
      </c>
      <c r="O5" s="1" t="inlineStr">
        <is>
          <t>12.0</t>
        </is>
      </c>
      <c r="P5" s="1" t="inlineStr">
        <is>
          <t>37.0</t>
        </is>
      </c>
      <c r="Q5" s="1" t="inlineStr">
        <is>
          <t>25.0</t>
        </is>
      </c>
      <c r="R5" s="1" t="inlineStr">
        <is>
          <t>0.3235294117647059</t>
        </is>
      </c>
      <c r="S5" s="1" t="inlineStr">
        <is>
          <t>51066.0</t>
        </is>
      </c>
      <c r="T5" s="1" t="inlineStr">
        <is>
          <t>10261.4464</t>
        </is>
      </c>
      <c r="U5" s="1" t="inlineStr">
        <is>
          <t>228955.19999999998</t>
        </is>
      </c>
      <c r="V5" s="1" t="inlineStr">
        <is>
          <t>61327.4464</t>
        </is>
      </c>
      <c r="W5" s="1" t="inlineStr">
        <is>
          <t>-167627.7536</t>
        </is>
      </c>
      <c r="X5" s="1" t="inlineStr">
        <is>
          <t>12.0</t>
        </is>
      </c>
      <c r="Y5" s="1" t="inlineStr">
        <is>
          <t>0.8879999999999999</t>
        </is>
      </c>
      <c r="Z5" s="1" t="inlineStr">
        <is>
          <t>1.9980000000000002</t>
        </is>
      </c>
      <c r="AA5" s="1" t="inlineStr">
        <is>
          <t>17.759999999999998</t>
        </is>
      </c>
      <c r="AB5" s="1" t="inlineStr">
        <is>
          <t>19.758</t>
        </is>
      </c>
      <c r="AC5" s="1" t="inlineStr">
        <is>
          <t>0.3303238356164379</t>
        </is>
      </c>
      <c r="AD5" s="1" t="inlineStr">
        <is>
          <t>-13968.979466666666</t>
        </is>
      </c>
      <c r="AE5" s="1" t="inlineStr">
        <is>
          <t>-8484.0446199008</t>
        </is>
      </c>
      <c r="AF5" s="1" t="inlineStr">
        <is>
          <t>-507464.9042118907</t>
        </is>
      </c>
      <c r="AG5" s="1" t="inlineStr">
        <is>
          <t>1056737.7536</t>
        </is>
      </c>
      <c r="AH5" s="1" t="inlineStr">
        <is>
          <t>1649477.7536</t>
        </is>
      </c>
      <c r="AI5" s="1" t="inlineStr">
        <is>
          <t>182492.3262027397</t>
        </is>
      </c>
      <c r="AJ5" s="1" t="inlineStr">
        <is>
          <t>192402.04127123283</t>
        </is>
      </c>
      <c r="AK5" s="1" t="inlineStr">
        <is>
          <t>dominant_cost_saving</t>
        </is>
      </c>
      <c r="AL5" s="1" t="inlineStr">
        <is>
          <t>Direct person-level prevented cases; no downstream transmission effects.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30" customWidth="1" min="3" max="3"/>
    <col width="25" customWidth="1" min="4" max="4"/>
    <col width="22" customWidth="1" min="5" max="5"/>
    <col width="22" customWidth="1" min="6" max="6"/>
    <col width="38" customWidth="1" min="7" max="7"/>
    <col width="38" customWidth="1" min="8" max="8"/>
    <col width="22" customWidth="1" min="9" max="9"/>
    <col width="31" customWidth="1" min="10" max="10"/>
    <col width="31" customWidth="1" min="11" max="11"/>
    <col width="22" customWidth="1" min="12" max="12"/>
    <col width="38" customWidth="1" min="13" max="13"/>
  </cols>
  <sheetData>
    <row r="1">
      <c r="A1" s="2" t="inlineStr">
        <is>
          <t>Strategy</t>
        </is>
      </c>
      <c r="B1" s="2" t="inlineStr">
        <is>
          <t>Cases prevented</t>
        </is>
      </c>
      <c r="C1" s="2" t="inlineStr">
        <is>
          <t>TB disease cost averted</t>
        </is>
      </c>
      <c r="D1" s="2" t="inlineStr">
        <is>
          <t>Included programme cost</t>
        </is>
      </c>
      <c r="E1" s="2" t="inlineStr">
        <is>
          <t>Testing cost</t>
        </is>
      </c>
      <c r="F1" s="2" t="inlineStr">
        <is>
          <t>Treatment cost</t>
        </is>
      </c>
      <c r="G1" s="2" t="inlineStr">
        <is>
          <t>Programme setup/running cost</t>
        </is>
      </c>
      <c r="H1" s="2" t="inlineStr">
        <is>
          <t>False-positive incremental cost</t>
        </is>
      </c>
      <c r="I1" s="2" t="inlineStr">
        <is>
          <t>Net cost vs baseline</t>
        </is>
      </c>
      <c r="J1" s="2" t="inlineStr">
        <is>
          <t>Break-even TB cases prevented</t>
        </is>
      </c>
      <c r="K1" s="2" t="inlineStr">
        <is>
          <t>Actual minus break-even cases</t>
        </is>
      </c>
      <c r="L1" s="2" t="inlineStr">
        <is>
          <t>Cost-saving yes/no</t>
        </is>
      </c>
      <c r="M1" s="2" t="inlineStr">
        <is>
          <t>Notes</t>
        </is>
      </c>
    </row>
    <row r="2">
      <c r="A2" s="1" t="inlineStr">
        <is>
          <t>Random</t>
        </is>
      </c>
      <c r="B2" s="1">
        <f>Strategy_Summary!Y2</f>
        <v/>
      </c>
      <c r="C2" s="1">
        <f>B2*Inputs_Assumptions!$B$12</f>
        <v/>
      </c>
      <c r="D2" s="1">
        <f>E2+F2+G2+H2</f>
        <v/>
      </c>
      <c r="E2" s="1">
        <f>Strategy_Summary!S2</f>
        <v/>
      </c>
      <c r="F2" s="1">
        <f>Strategy_Summary!T2</f>
        <v/>
      </c>
      <c r="G2" s="1">
        <f>Inputs_Assumptions!$B$13+Inputs_Assumptions!$B$14</f>
        <v/>
      </c>
      <c r="H2" s="1">
        <f>Strategy_Summary!W2-Strategy_Summary!V2+G2</f>
        <v/>
      </c>
      <c r="I2" s="1">
        <f>D2-C2</f>
        <v/>
      </c>
      <c r="J2" s="1">
        <f>D2/Inputs_Assumptions!$B$12</f>
        <v/>
      </c>
      <c r="K2" s="1">
        <f>B2-J2</f>
        <v/>
      </c>
      <c r="L2" s="1">
        <f>IF(I2&lt;0,"yes","no")</f>
        <v/>
      </c>
      <c r="M2" s="1" t="inlineStr">
        <is>
          <t>Cost-saving depends on omitted programme costs remaining below the headroom in net cost vs baseline.</t>
        </is>
      </c>
    </row>
    <row r="3">
      <c r="A3" s="1" t="inlineStr">
        <is>
          <t>LTBI-targeted</t>
        </is>
      </c>
      <c r="B3" s="1">
        <f>Strategy_Summary!Y3</f>
        <v/>
      </c>
      <c r="C3" s="1">
        <f>B3*Inputs_Assumptions!$B$12</f>
        <v/>
      </c>
      <c r="D3" s="1">
        <f>E3+F3+G3+H3</f>
        <v/>
      </c>
      <c r="E3" s="1">
        <f>Strategy_Summary!S3</f>
        <v/>
      </c>
      <c r="F3" s="1">
        <f>Strategy_Summary!T3</f>
        <v/>
      </c>
      <c r="G3" s="1">
        <f>Inputs_Assumptions!$B$13+Inputs_Assumptions!$B$14</f>
        <v/>
      </c>
      <c r="H3" s="1">
        <f>Strategy_Summary!W3-Strategy_Summary!V3+G3</f>
        <v/>
      </c>
      <c r="I3" s="1">
        <f>D3-C3</f>
        <v/>
      </c>
      <c r="J3" s="1">
        <f>D3/Inputs_Assumptions!$B$12</f>
        <v/>
      </c>
      <c r="K3" s="1">
        <f>B3-J3</f>
        <v/>
      </c>
      <c r="L3" s="1">
        <f>IF(I3&lt;0,"yes","no")</f>
        <v/>
      </c>
      <c r="M3" s="1" t="inlineStr">
        <is>
          <t>Cost-saving depends on omitted programme costs remaining below the headroom in net cost vs baseline.</t>
        </is>
      </c>
    </row>
    <row r="4">
      <c r="A4" s="1" t="inlineStr">
        <is>
          <t>Cure-targeted</t>
        </is>
      </c>
      <c r="B4" s="1">
        <f>Strategy_Summary!Y4</f>
        <v/>
      </c>
      <c r="C4" s="1">
        <f>B4*Inputs_Assumptions!$B$12</f>
        <v/>
      </c>
      <c r="D4" s="1">
        <f>E4+F4+G4+H4</f>
        <v/>
      </c>
      <c r="E4" s="1">
        <f>Strategy_Summary!S4</f>
        <v/>
      </c>
      <c r="F4" s="1">
        <f>Strategy_Summary!T4</f>
        <v/>
      </c>
      <c r="G4" s="1">
        <f>Inputs_Assumptions!$B$13+Inputs_Assumptions!$B$14</f>
        <v/>
      </c>
      <c r="H4" s="1">
        <f>Strategy_Summary!W4-Strategy_Summary!V4+G4</f>
        <v/>
      </c>
      <c r="I4" s="1">
        <f>D4-C4</f>
        <v/>
      </c>
      <c r="J4" s="1">
        <f>D4/Inputs_Assumptions!$B$12</f>
        <v/>
      </c>
      <c r="K4" s="1">
        <f>B4-J4</f>
        <v/>
      </c>
      <c r="L4" s="1">
        <f>IF(I4&lt;0,"yes","no")</f>
        <v/>
      </c>
      <c r="M4" s="1" t="inlineStr">
        <is>
          <t>Cost-saving depends on omitted programme costs remaining below the headroom in net cost vs baseline.</t>
        </is>
      </c>
    </row>
    <row r="5">
      <c r="A5" s="1" t="inlineStr">
        <is>
          <t>Prevention-targeted</t>
        </is>
      </c>
      <c r="B5" s="1">
        <f>Strategy_Summary!Y5</f>
        <v/>
      </c>
      <c r="C5" s="1">
        <f>B5*Inputs_Assumptions!$B$12</f>
        <v/>
      </c>
      <c r="D5" s="1">
        <f>E5+F5+G5+H5</f>
        <v/>
      </c>
      <c r="E5" s="1">
        <f>Strategy_Summary!S5</f>
        <v/>
      </c>
      <c r="F5" s="1">
        <f>Strategy_Summary!T5</f>
        <v/>
      </c>
      <c r="G5" s="1">
        <f>Inputs_Assumptions!$B$13+Inputs_Assumptions!$B$14</f>
        <v/>
      </c>
      <c r="H5" s="1">
        <f>Strategy_Summary!W5-Strategy_Summary!V5+G5</f>
        <v/>
      </c>
      <c r="I5" s="1">
        <f>D5-C5</f>
        <v/>
      </c>
      <c r="J5" s="1">
        <f>D5/Inputs_Assumptions!$B$12</f>
        <v/>
      </c>
      <c r="K5" s="1">
        <f>B5-J5</f>
        <v/>
      </c>
      <c r="L5" s="1">
        <f>IF(I5&lt;0,"yes","no")</f>
        <v/>
      </c>
      <c r="M5" s="1" t="inlineStr">
        <is>
          <t>Cost-saving depends on omitted programme costs remaining below the headroom in net cost vs baseline.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2" customWidth="1" min="3" max="3"/>
    <col width="23" customWidth="1" min="4" max="4"/>
    <col width="14" customWidth="1" min="5" max="5"/>
    <col width="17" customWidth="1" min="6" max="6"/>
    <col width="21" customWidth="1" min="7" max="7"/>
    <col width="38" customWidth="1" min="8" max="8"/>
    <col width="28" customWidth="1" min="9" max="9"/>
    <col width="38" customWidth="1" min="10" max="10"/>
  </cols>
  <sheetData>
    <row r="1">
      <c r="A1" s="2" t="inlineStr">
        <is>
          <t>Strategy</t>
        </is>
      </c>
      <c r="B1" s="2" t="inlineStr">
        <is>
          <t>Stage</t>
        </is>
      </c>
      <c r="C1" s="2" t="inlineStr">
        <is>
          <t>Branch</t>
        </is>
      </c>
      <c r="D1" s="2" t="inlineStr">
        <is>
          <t>Probability / rate</t>
        </is>
      </c>
      <c r="E1" s="2" t="inlineStr">
        <is>
          <t>Count</t>
        </is>
      </c>
      <c r="F1" s="2" t="inlineStr">
        <is>
          <t>Cost per person</t>
        </is>
      </c>
      <c r="G1" s="2" t="inlineStr">
        <is>
          <t>Total cost</t>
        </is>
      </c>
      <c r="H1" s="2" t="inlineStr">
        <is>
          <t>Utility / disability input</t>
        </is>
      </c>
      <c r="I1" s="2" t="inlineStr">
        <is>
          <t>Health outcome</t>
        </is>
      </c>
      <c r="J1" s="2" t="inlineStr">
        <is>
          <t>Notes</t>
        </is>
      </c>
    </row>
    <row r="2">
      <c r="A2" s="1" t="inlineStr">
        <is>
          <t>Random</t>
        </is>
      </c>
      <c r="B2" s="1" t="inlineStr">
        <is>
          <t>Eligible cohort</t>
        </is>
      </c>
      <c r="C2" s="1" t="inlineStr">
        <is>
          <t>All</t>
        </is>
      </c>
      <c r="D2" s="1" t="n">
        <v>1</v>
      </c>
      <c r="E2" s="1" t="n">
        <v>1500</v>
      </c>
      <c r="F2" s="1" t="inlineStr"/>
      <c r="G2" s="1" t="inlineStr"/>
      <c r="H2" s="1" t="inlineStr"/>
      <c r="I2" s="1" t="inlineStr"/>
      <c r="J2" s="1" t="inlineStr">
        <is>
          <t>N from APY run setting.</t>
        </is>
      </c>
    </row>
    <row r="3">
      <c r="A3" s="1" t="inlineStr">
        <is>
          <t>Random</t>
        </is>
      </c>
      <c r="B3" s="1" t="inlineStr">
        <is>
          <t>Screened</t>
        </is>
      </c>
      <c r="C3" s="1" t="inlineStr">
        <is>
          <t>Screened within window</t>
        </is>
      </c>
      <c r="D3" s="1" t="n">
        <v>0.3</v>
      </c>
      <c r="E3" s="1" t="n">
        <v>450</v>
      </c>
      <c r="F3" s="1" t="n">
        <v>113.48</v>
      </c>
      <c r="G3" s="1" t="n">
        <v>51066</v>
      </c>
      <c r="H3" s="1" t="inlineStr"/>
      <c r="I3" s="1" t="inlineStr"/>
      <c r="J3" s="1" t="inlineStr">
        <is>
          <t>Derived from nScreened_median / N.</t>
        </is>
      </c>
    </row>
    <row r="4">
      <c r="A4" s="1" t="inlineStr">
        <is>
          <t>Random</t>
        </is>
      </c>
      <c r="B4" s="1" t="inlineStr">
        <is>
          <t>Not screened</t>
        </is>
      </c>
      <c r="C4" s="1" t="inlineStr">
        <is>
          <t>Not reached</t>
        </is>
      </c>
      <c r="D4" s="1" t="n">
        <v>0.7</v>
      </c>
      <c r="E4" s="1" t="n">
        <v>1050</v>
      </c>
      <c r="F4" s="1" t="inlineStr"/>
      <c r="G4" s="1" t="inlineStr"/>
      <c r="H4" s="1" t="inlineStr"/>
      <c r="I4" s="1" t="inlineStr"/>
      <c r="J4" s="1" t="inlineStr">
        <is>
          <t>Complement of screened.</t>
        </is>
      </c>
    </row>
    <row r="5">
      <c r="A5" s="1" t="inlineStr">
        <is>
          <t>Random</t>
        </is>
      </c>
      <c r="B5" s="1" t="inlineStr">
        <is>
          <t>TPT started</t>
        </is>
      </c>
      <c r="C5" s="1" t="inlineStr">
        <is>
          <t>Started preventive treatment</t>
        </is>
      </c>
      <c r="D5" s="1" t="n">
        <v>0.07111111111111111</v>
      </c>
      <c r="E5" s="1" t="n">
        <v>32</v>
      </c>
      <c r="F5" s="1" t="n">
        <v>165.5072</v>
      </c>
      <c r="G5" s="1" t="n">
        <v>5296.2304</v>
      </c>
      <c r="H5" s="1" t="inlineStr"/>
      <c r="I5" s="1" t="inlineStr"/>
      <c r="J5" s="1" t="inlineStr">
        <is>
          <t>Derived from courses / screened; includes true and false-positive starts.</t>
        </is>
      </c>
    </row>
    <row r="6">
      <c r="A6" s="1" t="inlineStr">
        <is>
          <t>Random</t>
        </is>
      </c>
      <c r="B6" s="1" t="inlineStr">
        <is>
          <t>TPT completed</t>
        </is>
      </c>
      <c r="C6" s="1" t="inlineStr">
        <is>
          <t>Completed preventive treatment</t>
        </is>
      </c>
      <c r="D6" s="1" t="n">
        <v>0.78125</v>
      </c>
      <c r="E6" s="1" t="n">
        <v>25</v>
      </c>
      <c r="F6" s="1" t="inlineStr"/>
      <c r="G6" s="1" t="inlineStr"/>
      <c r="H6" s="1" t="inlineStr"/>
      <c r="I6" s="1" t="inlineStr"/>
      <c r="J6" s="1" t="inlineStr">
        <is>
          <t>Derived from completed / started.</t>
        </is>
      </c>
    </row>
    <row r="7">
      <c r="A7" s="1" t="inlineStr">
        <is>
          <t>Random</t>
        </is>
      </c>
      <c r="B7" s="1" t="inlineStr">
        <is>
          <t>False positive treated</t>
        </is>
      </c>
      <c r="C7" s="1" t="inlineStr">
        <is>
          <t>Uninfected/non-active treated</t>
        </is>
      </c>
      <c r="D7" s="1" t="n">
        <v>0.21875</v>
      </c>
      <c r="E7" s="1" t="n">
        <v>7</v>
      </c>
      <c r="F7" s="1" t="n">
        <v>0</v>
      </c>
      <c r="G7" s="1" t="n">
        <v>0</v>
      </c>
      <c r="H7" s="1" t="inlineStr"/>
      <c r="I7" s="1" t="inlineStr"/>
      <c r="J7" s="1" t="inlineStr">
        <is>
          <t>False-positive incremental cost currently omitted.</t>
        </is>
      </c>
    </row>
    <row r="8">
      <c r="A8" s="1" t="inlineStr">
        <is>
          <t>Random</t>
        </is>
      </c>
      <c r="B8" s="1" t="inlineStr">
        <is>
          <t>ADR stop</t>
        </is>
      </c>
      <c r="C8" s="1" t="inlineStr">
        <is>
          <t>Stopped due to ADR</t>
        </is>
      </c>
      <c r="D8" s="1" t="inlineStr"/>
      <c r="E8" s="1" t="inlineStr"/>
      <c r="F8" s="1" t="inlineStr"/>
      <c r="G8" s="1" t="inlineStr"/>
      <c r="H8" s="1" t="inlineStr">
        <is>
          <t>SAE utility 0.8685</t>
        </is>
      </c>
      <c r="I8" s="1" t="inlineStr"/>
      <c r="J8" s="1" t="inlineStr">
        <is>
          <t>ADR stop count is not in the paper strategy summary CSV; requires model-output extraction if needed.</t>
        </is>
      </c>
    </row>
    <row r="9">
      <c r="A9" s="1" t="inlineStr">
        <is>
          <t>Random</t>
        </is>
      </c>
      <c r="B9" s="1" t="inlineStr">
        <is>
          <t>Partial course</t>
        </is>
      </c>
      <c r="C9" s="1" t="inlineStr">
        <is>
          <t>Non-complete partial course</t>
        </is>
      </c>
      <c r="D9" s="1" t="inlineStr"/>
      <c r="E9" s="1" t="inlineStr"/>
      <c r="F9" s="1" t="inlineStr"/>
      <c r="G9" s="1" t="inlineStr"/>
      <c r="H9" s="1" t="inlineStr">
        <is>
          <t>LTBI treatment decrement sensitivity</t>
        </is>
      </c>
      <c r="I9" s="1" t="inlineStr"/>
      <c r="J9" s="1" t="inlineStr">
        <is>
          <t>Partial-course count not in the paper strategy summary CSV; requires model-output extraction if needed.</t>
        </is>
      </c>
    </row>
    <row r="10">
      <c r="A10" s="1" t="inlineStr">
        <is>
          <t>Random</t>
        </is>
      </c>
      <c r="B10" s="1" t="inlineStr">
        <is>
          <t>Infection cured/protected</t>
        </is>
      </c>
      <c r="C10" s="1" t="inlineStr">
        <is>
          <t>Cured/protected</t>
        </is>
      </c>
      <c r="D10" s="1" t="n">
        <v>0.5</v>
      </c>
      <c r="E10" s="1" t="n">
        <v>16</v>
      </c>
      <c r="F10" s="1" t="inlineStr"/>
      <c r="G10" s="1" t="inlineStr"/>
      <c r="H10" s="1" t="inlineStr"/>
      <c r="I10" s="1" t="inlineStr">
        <is>
          <t>Infections cured/protected</t>
        </is>
      </c>
      <c r="J10" s="1" t="inlineStr">
        <is>
          <t>Derived from nCuredInfection_median / courses started.</t>
        </is>
      </c>
    </row>
    <row r="11">
      <c r="A11" s="1" t="inlineStr">
        <is>
          <t>Random</t>
        </is>
      </c>
      <c r="B11" s="1" t="inlineStr">
        <is>
          <t>Active TB case prevented</t>
        </is>
      </c>
      <c r="C11" s="1" t="inlineStr">
        <is>
          <t>Prevented direct case</t>
        </is>
      </c>
      <c r="D11" s="1" t="n">
        <v>0.002666666666666667</v>
      </c>
      <c r="E11" s="1" t="n">
        <v>4</v>
      </c>
      <c r="F11" s="1" t="n">
        <v>19079.6</v>
      </c>
      <c r="G11" s="1" t="n">
        <v>76318.39999999999</v>
      </c>
      <c r="H11" s="1" t="inlineStr">
        <is>
          <t>DW 0.333; duration 0.5y</t>
        </is>
      </c>
      <c r="I11" s="1" t="inlineStr">
        <is>
          <t>DALYs/QALYs averted</t>
        </is>
      </c>
      <c r="J11" s="1" t="inlineStr">
        <is>
          <t>Direct person-level cases prevented; no transmission benefit.</t>
        </is>
      </c>
    </row>
    <row r="12">
      <c r="A12" s="1" t="inlineStr">
        <is>
          <t>Random</t>
        </is>
      </c>
      <c r="B12" s="1" t="inlineStr">
        <is>
          <t>Active TB case not prevented</t>
        </is>
      </c>
      <c r="C12" s="1" t="inlineStr">
        <is>
          <t>Residual active TB by horizon</t>
        </is>
      </c>
      <c r="D12" s="1" t="inlineStr"/>
      <c r="E12" s="1" t="n">
        <v>33</v>
      </c>
      <c r="F12" s="1" t="inlineStr"/>
      <c r="G12" s="1" t="inlineStr"/>
      <c r="H12" s="1" t="inlineStr"/>
      <c r="I12" s="1" t="inlineStr"/>
      <c r="J12" s="1" t="inlineStr">
        <is>
          <t>From nActiveBy20y_AfterStrategy_median.</t>
        </is>
      </c>
    </row>
    <row r="13">
      <c r="A13" s="1" t="inlineStr">
        <is>
          <t>Random</t>
        </is>
      </c>
      <c r="B13" s="1" t="inlineStr">
        <is>
          <t>DALYs averted</t>
        </is>
      </c>
      <c r="C13" s="1" t="inlineStr">
        <is>
          <t>Health outcome</t>
        </is>
      </c>
      <c r="D13" s="1" t="inlineStr"/>
      <c r="E13" s="1" t="inlineStr"/>
      <c r="F13" s="1" t="inlineStr"/>
      <c r="G13" s="1" t="inlineStr"/>
      <c r="H13" s="1" t="inlineStr">
        <is>
          <t>DW/YLL assumptions</t>
        </is>
      </c>
      <c r="I13" s="1" t="n">
        <v>6.586</v>
      </c>
      <c r="J13" s="1" t="inlineStr">
        <is>
          <t>Includes YLD plus YLL in base case.</t>
        </is>
      </c>
    </row>
    <row r="14">
      <c r="A14" s="1" t="inlineStr">
        <is>
          <t>Random</t>
        </is>
      </c>
      <c r="B14" s="1" t="inlineStr">
        <is>
          <t>QALYs gained</t>
        </is>
      </c>
      <c r="C14" s="1" t="inlineStr">
        <is>
          <t>Health outcome</t>
        </is>
      </c>
      <c r="D14" s="1" t="inlineStr"/>
      <c r="E14" s="1" t="inlineStr"/>
      <c r="F14" s="1" t="inlineStr"/>
      <c r="G14" s="1" t="inlineStr"/>
      <c r="H14" s="1" t="inlineStr">
        <is>
          <t>Dale-informed utilities</t>
        </is>
      </c>
      <c r="I14" s="1" t="n">
        <v>0.1101079452054793</v>
      </c>
      <c r="J14" s="1" t="inlineStr">
        <is>
          <t>Base case has no LTBI treatment decrement.</t>
        </is>
      </c>
    </row>
    <row r="15">
      <c r="A15" s="1" t="inlineStr">
        <is>
          <t>Random</t>
        </is>
      </c>
      <c r="B15" s="1" t="inlineStr">
        <is>
          <t>Net cost</t>
        </is>
      </c>
      <c r="C15" s="1" t="inlineStr">
        <is>
          <t>Economic outcome</t>
        </is>
      </c>
      <c r="D15" s="1" t="inlineStr"/>
      <c r="E15" s="1" t="inlineStr"/>
      <c r="F15" s="1" t="inlineStr"/>
      <c r="G15" s="1" t="n">
        <v>-19956.16959999999</v>
      </c>
      <c r="H15" s="1" t="inlineStr"/>
      <c r="I15" s="1" t="inlineStr"/>
      <c r="J15" s="1" t="inlineStr">
        <is>
          <t>Negative means cost-saving.</t>
        </is>
      </c>
    </row>
    <row r="16">
      <c r="A16" s="1" t="inlineStr">
        <is>
          <t>Random</t>
        </is>
      </c>
      <c r="B16" s="1" t="inlineStr">
        <is>
          <t>ICER per DALY</t>
        </is>
      </c>
      <c r="C16" s="1" t="inlineStr">
        <is>
          <t>Economic outcome</t>
        </is>
      </c>
      <c r="D16" s="1" t="inlineStr"/>
      <c r="E16" s="1" t="inlineStr"/>
      <c r="F16" s="1" t="inlineStr"/>
      <c r="G16" s="1" t="inlineStr"/>
      <c r="H16" s="1" t="inlineStr"/>
      <c r="I16" s="1" t="n">
        <v>-3030.089523231095</v>
      </c>
      <c r="J16" s="1" t="inlineStr">
        <is>
          <t>Negative because net cost is negative.</t>
        </is>
      </c>
    </row>
    <row r="17">
      <c r="A17" s="1" t="inlineStr">
        <is>
          <t>Random</t>
        </is>
      </c>
      <c r="B17" s="1" t="inlineStr">
        <is>
          <t>ICER per QALY</t>
        </is>
      </c>
      <c r="C17" s="1" t="inlineStr">
        <is>
          <t>Economic outcome</t>
        </is>
      </c>
      <c r="D17" s="1" t="inlineStr"/>
      <c r="E17" s="1" t="inlineStr"/>
      <c r="F17" s="1" t="inlineStr"/>
      <c r="G17" s="1" t="inlineStr"/>
      <c r="H17" s="1" t="inlineStr"/>
      <c r="I17" s="1" t="n">
        <v>-181241.8673580598</v>
      </c>
      <c r="J17" s="1" t="inlineStr">
        <is>
          <t>Negative because net cost is negative.</t>
        </is>
      </c>
    </row>
    <row r="18">
      <c r="A18" s="1" t="inlineStr">
        <is>
          <t>LTBI-targeted</t>
        </is>
      </c>
      <c r="B18" s="1" t="inlineStr">
        <is>
          <t>Eligible cohort</t>
        </is>
      </c>
      <c r="C18" s="1" t="inlineStr">
        <is>
          <t>All</t>
        </is>
      </c>
      <c r="D18" s="1" t="n">
        <v>1</v>
      </c>
      <c r="E18" s="1" t="n">
        <v>1500</v>
      </c>
      <c r="F18" s="1" t="inlineStr"/>
      <c r="G18" s="1" t="inlineStr"/>
      <c r="H18" s="1" t="inlineStr"/>
      <c r="I18" s="1" t="inlineStr"/>
      <c r="J18" s="1" t="inlineStr">
        <is>
          <t>N from APY run setting.</t>
        </is>
      </c>
    </row>
    <row r="19">
      <c r="A19" s="1" t="inlineStr">
        <is>
          <t>LTBI-targeted</t>
        </is>
      </c>
      <c r="B19" s="1" t="inlineStr">
        <is>
          <t>Screened</t>
        </is>
      </c>
      <c r="C19" s="1" t="inlineStr">
        <is>
          <t>Screened within window</t>
        </is>
      </c>
      <c r="D19" s="1" t="n">
        <v>0.3</v>
      </c>
      <c r="E19" s="1" t="n">
        <v>450</v>
      </c>
      <c r="F19" s="1" t="n">
        <v>113.48</v>
      </c>
      <c r="G19" s="1" t="n">
        <v>51066</v>
      </c>
      <c r="H19" s="1" t="inlineStr"/>
      <c r="I19" s="1" t="inlineStr"/>
      <c r="J19" s="1" t="inlineStr">
        <is>
          <t>Derived from nScreened_median / N.</t>
        </is>
      </c>
    </row>
    <row r="20">
      <c r="A20" s="1" t="inlineStr">
        <is>
          <t>LTBI-targeted</t>
        </is>
      </c>
      <c r="B20" s="1" t="inlineStr">
        <is>
          <t>Not screened</t>
        </is>
      </c>
      <c r="C20" s="1" t="inlineStr">
        <is>
          <t>Not reached</t>
        </is>
      </c>
      <c r="D20" s="1" t="n">
        <v>0.7</v>
      </c>
      <c r="E20" s="1" t="n">
        <v>1050</v>
      </c>
      <c r="F20" s="1" t="inlineStr"/>
      <c r="G20" s="1" t="inlineStr"/>
      <c r="H20" s="1" t="inlineStr"/>
      <c r="I20" s="1" t="inlineStr"/>
      <c r="J20" s="1" t="inlineStr">
        <is>
          <t>Complement of screened.</t>
        </is>
      </c>
    </row>
    <row r="21">
      <c r="A21" s="1" t="inlineStr">
        <is>
          <t>LTBI-targeted</t>
        </is>
      </c>
      <c r="B21" s="1" t="inlineStr">
        <is>
          <t>TPT started</t>
        </is>
      </c>
      <c r="C21" s="1" t="inlineStr">
        <is>
          <t>Started preventive treatment</t>
        </is>
      </c>
      <c r="D21" s="1" t="n">
        <v>0.1488888888888889</v>
      </c>
      <c r="E21" s="1" t="n">
        <v>67</v>
      </c>
      <c r="F21" s="1" t="n">
        <v>165.5072</v>
      </c>
      <c r="G21" s="1" t="n">
        <v>11088.9824</v>
      </c>
      <c r="H21" s="1" t="inlineStr"/>
      <c r="I21" s="1" t="inlineStr"/>
      <c r="J21" s="1" t="inlineStr">
        <is>
          <t>Derived from courses / screened; includes true and false-positive starts.</t>
        </is>
      </c>
    </row>
    <row r="22">
      <c r="A22" s="1" t="inlineStr">
        <is>
          <t>LTBI-targeted</t>
        </is>
      </c>
      <c r="B22" s="1" t="inlineStr">
        <is>
          <t>TPT completed</t>
        </is>
      </c>
      <c r="C22" s="1" t="inlineStr">
        <is>
          <t>Completed preventive treatment</t>
        </is>
      </c>
      <c r="D22" s="1" t="n">
        <v>0.8059701492537313</v>
      </c>
      <c r="E22" s="1" t="n">
        <v>54</v>
      </c>
      <c r="F22" s="1" t="inlineStr"/>
      <c r="G22" s="1" t="inlineStr"/>
      <c r="H22" s="1" t="inlineStr"/>
      <c r="I22" s="1" t="inlineStr"/>
      <c r="J22" s="1" t="inlineStr">
        <is>
          <t>Derived from completed / started.</t>
        </is>
      </c>
    </row>
    <row r="23">
      <c r="A23" s="1" t="inlineStr">
        <is>
          <t>LTBI-targeted</t>
        </is>
      </c>
      <c r="B23" s="1" t="inlineStr">
        <is>
          <t>False positive treated</t>
        </is>
      </c>
      <c r="C23" s="1" t="inlineStr">
        <is>
          <t>Uninfected/non-active treated</t>
        </is>
      </c>
      <c r="D23" s="1" t="n">
        <v>0.08955223880597014</v>
      </c>
      <c r="E23" s="1" t="n">
        <v>6</v>
      </c>
      <c r="F23" s="1" t="n">
        <v>0</v>
      </c>
      <c r="G23" s="1" t="n">
        <v>0</v>
      </c>
      <c r="H23" s="1" t="inlineStr"/>
      <c r="I23" s="1" t="inlineStr"/>
      <c r="J23" s="1" t="inlineStr">
        <is>
          <t>False-positive incremental cost currently omitted.</t>
        </is>
      </c>
    </row>
    <row r="24">
      <c r="A24" s="1" t="inlineStr">
        <is>
          <t>LTBI-targeted</t>
        </is>
      </c>
      <c r="B24" s="1" t="inlineStr">
        <is>
          <t>ADR stop</t>
        </is>
      </c>
      <c r="C24" s="1" t="inlineStr">
        <is>
          <t>Stopped due to ADR</t>
        </is>
      </c>
      <c r="D24" s="1" t="inlineStr"/>
      <c r="E24" s="1" t="inlineStr"/>
      <c r="F24" s="1" t="inlineStr"/>
      <c r="G24" s="1" t="inlineStr"/>
      <c r="H24" s="1" t="inlineStr">
        <is>
          <t>SAE utility 0.8685</t>
        </is>
      </c>
      <c r="I24" s="1" t="inlineStr"/>
      <c r="J24" s="1" t="inlineStr">
        <is>
          <t>ADR stop count is not in the paper strategy summary CSV; requires model-output extraction if needed.</t>
        </is>
      </c>
    </row>
    <row r="25">
      <c r="A25" s="1" t="inlineStr">
        <is>
          <t>LTBI-targeted</t>
        </is>
      </c>
      <c r="B25" s="1" t="inlineStr">
        <is>
          <t>Partial course</t>
        </is>
      </c>
      <c r="C25" s="1" t="inlineStr">
        <is>
          <t>Non-complete partial course</t>
        </is>
      </c>
      <c r="D25" s="1" t="inlineStr"/>
      <c r="E25" s="1" t="inlineStr"/>
      <c r="F25" s="1" t="inlineStr"/>
      <c r="G25" s="1" t="inlineStr"/>
      <c r="H25" s="1" t="inlineStr">
        <is>
          <t>LTBI treatment decrement sensitivity</t>
        </is>
      </c>
      <c r="I25" s="1" t="inlineStr"/>
      <c r="J25" s="1" t="inlineStr">
        <is>
          <t>Partial-course count not in the paper strategy summary CSV; requires model-output extraction if needed.</t>
        </is>
      </c>
    </row>
    <row r="26">
      <c r="A26" s="1" t="inlineStr">
        <is>
          <t>LTBI-targeted</t>
        </is>
      </c>
      <c r="B26" s="1" t="inlineStr">
        <is>
          <t>Infection cured/protected</t>
        </is>
      </c>
      <c r="C26" s="1" t="inlineStr">
        <is>
          <t>Cured/protected</t>
        </is>
      </c>
      <c r="D26" s="1" t="n">
        <v>0.5970149253731343</v>
      </c>
      <c r="E26" s="1" t="n">
        <v>40</v>
      </c>
      <c r="F26" s="1" t="inlineStr"/>
      <c r="G26" s="1" t="inlineStr"/>
      <c r="H26" s="1" t="inlineStr"/>
      <c r="I26" s="1" t="inlineStr">
        <is>
          <t>Infections cured/protected</t>
        </is>
      </c>
      <c r="J26" s="1" t="inlineStr">
        <is>
          <t>Derived from nCuredInfection_median / courses started.</t>
        </is>
      </c>
    </row>
    <row r="27">
      <c r="A27" s="1" t="inlineStr">
        <is>
          <t>LTBI-targeted</t>
        </is>
      </c>
      <c r="B27" s="1" t="inlineStr">
        <is>
          <t>Active TB case prevented</t>
        </is>
      </c>
      <c r="C27" s="1" t="inlineStr">
        <is>
          <t>Prevented direct case</t>
        </is>
      </c>
      <c r="D27" s="1" t="n">
        <v>0.007333333333333333</v>
      </c>
      <c r="E27" s="1" t="n">
        <v>11</v>
      </c>
      <c r="F27" s="1" t="n">
        <v>19079.6</v>
      </c>
      <c r="G27" s="1" t="n">
        <v>209875.6</v>
      </c>
      <c r="H27" s="1" t="inlineStr">
        <is>
          <t>DW 0.333; duration 0.5y</t>
        </is>
      </c>
      <c r="I27" s="1" t="inlineStr">
        <is>
          <t>DALYs/QALYs averted</t>
        </is>
      </c>
      <c r="J27" s="1" t="inlineStr">
        <is>
          <t>Direct person-level cases prevented; no transmission benefit.</t>
        </is>
      </c>
    </row>
    <row r="28">
      <c r="A28" s="1" t="inlineStr">
        <is>
          <t>LTBI-targeted</t>
        </is>
      </c>
      <c r="B28" s="1" t="inlineStr">
        <is>
          <t>Active TB case not prevented</t>
        </is>
      </c>
      <c r="C28" s="1" t="inlineStr">
        <is>
          <t>Residual active TB by horizon</t>
        </is>
      </c>
      <c r="D28" s="1" t="inlineStr"/>
      <c r="E28" s="1" t="n">
        <v>26</v>
      </c>
      <c r="F28" s="1" t="inlineStr"/>
      <c r="G28" s="1" t="inlineStr"/>
      <c r="H28" s="1" t="inlineStr"/>
      <c r="I28" s="1" t="inlineStr"/>
      <c r="J28" s="1" t="inlineStr">
        <is>
          <t>From nActiveBy20y_AfterStrategy_median.</t>
        </is>
      </c>
    </row>
    <row r="29">
      <c r="A29" s="1" t="inlineStr">
        <is>
          <t>LTBI-targeted</t>
        </is>
      </c>
      <c r="B29" s="1" t="inlineStr">
        <is>
          <t>DALYs averted</t>
        </is>
      </c>
      <c r="C29" s="1" t="inlineStr">
        <is>
          <t>Health outcome</t>
        </is>
      </c>
      <c r="D29" s="1" t="inlineStr"/>
      <c r="E29" s="1" t="inlineStr"/>
      <c r="F29" s="1" t="inlineStr"/>
      <c r="G29" s="1" t="inlineStr"/>
      <c r="H29" s="1" t="inlineStr">
        <is>
          <t>DW/YLL assumptions</t>
        </is>
      </c>
      <c r="I29" s="1" t="n">
        <v>18.1115</v>
      </c>
      <c r="J29" s="1" t="inlineStr">
        <is>
          <t>Includes YLD plus YLL in base case.</t>
        </is>
      </c>
    </row>
    <row r="30">
      <c r="A30" s="1" t="inlineStr">
        <is>
          <t>LTBI-targeted</t>
        </is>
      </c>
      <c r="B30" s="1" t="inlineStr">
        <is>
          <t>QALYs gained</t>
        </is>
      </c>
      <c r="C30" s="1" t="inlineStr">
        <is>
          <t>Health outcome</t>
        </is>
      </c>
      <c r="D30" s="1" t="inlineStr"/>
      <c r="E30" s="1" t="inlineStr"/>
      <c r="F30" s="1" t="inlineStr"/>
      <c r="G30" s="1" t="inlineStr"/>
      <c r="H30" s="1" t="inlineStr">
        <is>
          <t>Dale-informed utilities</t>
        </is>
      </c>
      <c r="I30" s="1" t="n">
        <v>0.3027738356164379</v>
      </c>
      <c r="J30" s="1" t="inlineStr">
        <is>
          <t>Base case has no LTBI treatment decrement.</t>
        </is>
      </c>
    </row>
    <row r="31">
      <c r="A31" s="1" t="inlineStr">
        <is>
          <t>LTBI-targeted</t>
        </is>
      </c>
      <c r="B31" s="1" t="inlineStr">
        <is>
          <t>Net cost</t>
        </is>
      </c>
      <c r="C31" s="1" t="inlineStr">
        <is>
          <t>Economic outcome</t>
        </is>
      </c>
      <c r="D31" s="1" t="inlineStr"/>
      <c r="E31" s="1" t="inlineStr"/>
      <c r="F31" s="1" t="inlineStr"/>
      <c r="G31" s="1" t="n">
        <v>-147720.6176</v>
      </c>
      <c r="H31" s="1" t="inlineStr"/>
      <c r="I31" s="1" t="inlineStr"/>
      <c r="J31" s="1" t="inlineStr">
        <is>
          <t>Negative means cost-saving.</t>
        </is>
      </c>
    </row>
    <row r="32">
      <c r="A32" s="1" t="inlineStr">
        <is>
          <t>LTBI-targeted</t>
        </is>
      </c>
      <c r="B32" s="1" t="inlineStr">
        <is>
          <t>ICER per DALY</t>
        </is>
      </c>
      <c r="C32" s="1" t="inlineStr">
        <is>
          <t>Economic outcome</t>
        </is>
      </c>
      <c r="D32" s="1" t="inlineStr"/>
      <c r="E32" s="1" t="inlineStr"/>
      <c r="F32" s="1" t="inlineStr"/>
      <c r="G32" s="1" t="inlineStr"/>
      <c r="H32" s="1" t="inlineStr"/>
      <c r="I32" s="1" t="n">
        <v>-8156.177986362254</v>
      </c>
      <c r="J32" s="1" t="inlineStr">
        <is>
          <t>Negative because net cost is negative.</t>
        </is>
      </c>
    </row>
    <row r="33">
      <c r="A33" s="1" t="inlineStr">
        <is>
          <t>LTBI-targeted</t>
        </is>
      </c>
      <c r="B33" s="1" t="inlineStr">
        <is>
          <t>ICER per QALY</t>
        </is>
      </c>
      <c r="C33" s="1" t="inlineStr">
        <is>
          <t>Economic outcome</t>
        </is>
      </c>
      <c r="D33" s="1" t="inlineStr"/>
      <c r="E33" s="1" t="inlineStr"/>
      <c r="F33" s="1" t="inlineStr"/>
      <c r="G33" s="1" t="inlineStr"/>
      <c r="H33" s="1" t="inlineStr"/>
      <c r="I33" s="1" t="n">
        <v>-487890.9609188834</v>
      </c>
      <c r="J33" s="1" t="inlineStr">
        <is>
          <t>Negative because net cost is negative.</t>
        </is>
      </c>
    </row>
    <row r="34">
      <c r="A34" s="1" t="inlineStr">
        <is>
          <t>Cure-targeted</t>
        </is>
      </c>
      <c r="B34" s="1" t="inlineStr">
        <is>
          <t>Eligible cohort</t>
        </is>
      </c>
      <c r="C34" s="1" t="inlineStr">
        <is>
          <t>All</t>
        </is>
      </c>
      <c r="D34" s="1" t="n">
        <v>1</v>
      </c>
      <c r="E34" s="1" t="n">
        <v>1500</v>
      </c>
      <c r="F34" s="1" t="inlineStr"/>
      <c r="G34" s="1" t="inlineStr"/>
      <c r="H34" s="1" t="inlineStr"/>
      <c r="I34" s="1" t="inlineStr"/>
      <c r="J34" s="1" t="inlineStr">
        <is>
          <t>N from APY run setting.</t>
        </is>
      </c>
    </row>
    <row r="35">
      <c r="A35" s="1" t="inlineStr">
        <is>
          <t>Cure-targeted</t>
        </is>
      </c>
      <c r="B35" s="1" t="inlineStr">
        <is>
          <t>Screened</t>
        </is>
      </c>
      <c r="C35" s="1" t="inlineStr">
        <is>
          <t>Screened within window</t>
        </is>
      </c>
      <c r="D35" s="1" t="n">
        <v>0.3</v>
      </c>
      <c r="E35" s="1" t="n">
        <v>450</v>
      </c>
      <c r="F35" s="1" t="n">
        <v>113.48</v>
      </c>
      <c r="G35" s="1" t="n">
        <v>51066</v>
      </c>
      <c r="H35" s="1" t="inlineStr"/>
      <c r="I35" s="1" t="inlineStr"/>
      <c r="J35" s="1" t="inlineStr">
        <is>
          <t>Derived from nScreened_median / N.</t>
        </is>
      </c>
    </row>
    <row r="36">
      <c r="A36" s="1" t="inlineStr">
        <is>
          <t>Cure-targeted</t>
        </is>
      </c>
      <c r="B36" s="1" t="inlineStr">
        <is>
          <t>Not screened</t>
        </is>
      </c>
      <c r="C36" s="1" t="inlineStr">
        <is>
          <t>Not reached</t>
        </is>
      </c>
      <c r="D36" s="1" t="n">
        <v>0.7</v>
      </c>
      <c r="E36" s="1" t="n">
        <v>1050</v>
      </c>
      <c r="F36" s="1" t="inlineStr"/>
      <c r="G36" s="1" t="inlineStr"/>
      <c r="H36" s="1" t="inlineStr"/>
      <c r="I36" s="1" t="inlineStr"/>
      <c r="J36" s="1" t="inlineStr">
        <is>
          <t>Complement of screened.</t>
        </is>
      </c>
    </row>
    <row r="37">
      <c r="A37" s="1" t="inlineStr">
        <is>
          <t>Cure-targeted</t>
        </is>
      </c>
      <c r="B37" s="1" t="inlineStr">
        <is>
          <t>TPT started</t>
        </is>
      </c>
      <c r="C37" s="1" t="inlineStr">
        <is>
          <t>Started preventive treatment</t>
        </is>
      </c>
      <c r="D37" s="1" t="n">
        <v>0.1488888888888889</v>
      </c>
      <c r="E37" s="1" t="n">
        <v>67</v>
      </c>
      <c r="F37" s="1" t="n">
        <v>165.5072</v>
      </c>
      <c r="G37" s="1" t="n">
        <v>11088.9824</v>
      </c>
      <c r="H37" s="1" t="inlineStr"/>
      <c r="I37" s="1" t="inlineStr"/>
      <c r="J37" s="1" t="inlineStr">
        <is>
          <t>Derived from courses / screened; includes true and false-positive starts.</t>
        </is>
      </c>
    </row>
    <row r="38">
      <c r="A38" s="1" t="inlineStr">
        <is>
          <t>Cure-targeted</t>
        </is>
      </c>
      <c r="B38" s="1" t="inlineStr">
        <is>
          <t>TPT completed</t>
        </is>
      </c>
      <c r="C38" s="1" t="inlineStr">
        <is>
          <t>Completed preventive treatment</t>
        </is>
      </c>
      <c r="D38" s="1" t="n">
        <v>0.8059701492537313</v>
      </c>
      <c r="E38" s="1" t="n">
        <v>54</v>
      </c>
      <c r="F38" s="1" t="inlineStr"/>
      <c r="G38" s="1" t="inlineStr"/>
      <c r="H38" s="1" t="inlineStr"/>
      <c r="I38" s="1" t="inlineStr"/>
      <c r="J38" s="1" t="inlineStr">
        <is>
          <t>Derived from completed / started.</t>
        </is>
      </c>
    </row>
    <row r="39">
      <c r="A39" s="1" t="inlineStr">
        <is>
          <t>Cure-targeted</t>
        </is>
      </c>
      <c r="B39" s="1" t="inlineStr">
        <is>
          <t>False positive treated</t>
        </is>
      </c>
      <c r="C39" s="1" t="inlineStr">
        <is>
          <t>Uninfected/non-active treated</t>
        </is>
      </c>
      <c r="D39" s="1" t="n">
        <v>0.08955223880597014</v>
      </c>
      <c r="E39" s="1" t="n">
        <v>6</v>
      </c>
      <c r="F39" s="1" t="n">
        <v>0</v>
      </c>
      <c r="G39" s="1" t="n">
        <v>0</v>
      </c>
      <c r="H39" s="1" t="inlineStr"/>
      <c r="I39" s="1" t="inlineStr"/>
      <c r="J39" s="1" t="inlineStr">
        <is>
          <t>False-positive incremental cost currently omitted.</t>
        </is>
      </c>
    </row>
    <row r="40">
      <c r="A40" s="1" t="inlineStr">
        <is>
          <t>Cure-targeted</t>
        </is>
      </c>
      <c r="B40" s="1" t="inlineStr">
        <is>
          <t>ADR stop</t>
        </is>
      </c>
      <c r="C40" s="1" t="inlineStr">
        <is>
          <t>Stopped due to ADR</t>
        </is>
      </c>
      <c r="D40" s="1" t="inlineStr"/>
      <c r="E40" s="1" t="inlineStr"/>
      <c r="F40" s="1" t="inlineStr"/>
      <c r="G40" s="1" t="inlineStr"/>
      <c r="H40" s="1" t="inlineStr">
        <is>
          <t>SAE utility 0.8685</t>
        </is>
      </c>
      <c r="I40" s="1" t="inlineStr"/>
      <c r="J40" s="1" t="inlineStr">
        <is>
          <t>ADR stop count is not in the paper strategy summary CSV; requires model-output extraction if needed.</t>
        </is>
      </c>
    </row>
    <row r="41">
      <c r="A41" s="1" t="inlineStr">
        <is>
          <t>Cure-targeted</t>
        </is>
      </c>
      <c r="B41" s="1" t="inlineStr">
        <is>
          <t>Partial course</t>
        </is>
      </c>
      <c r="C41" s="1" t="inlineStr">
        <is>
          <t>Non-complete partial course</t>
        </is>
      </c>
      <c r="D41" s="1" t="inlineStr"/>
      <c r="E41" s="1" t="inlineStr"/>
      <c r="F41" s="1" t="inlineStr"/>
      <c r="G41" s="1" t="inlineStr"/>
      <c r="H41" s="1" t="inlineStr">
        <is>
          <t>LTBI treatment decrement sensitivity</t>
        </is>
      </c>
      <c r="I41" s="1" t="inlineStr"/>
      <c r="J41" s="1" t="inlineStr">
        <is>
          <t>Partial-course count not in the paper strategy summary CSV; requires model-output extraction if needed.</t>
        </is>
      </c>
    </row>
    <row r="42">
      <c r="A42" s="1" t="inlineStr">
        <is>
          <t>Cure-targeted</t>
        </is>
      </c>
      <c r="B42" s="1" t="inlineStr">
        <is>
          <t>Infection cured/protected</t>
        </is>
      </c>
      <c r="C42" s="1" t="inlineStr">
        <is>
          <t>Cured/protected</t>
        </is>
      </c>
      <c r="D42" s="1" t="n">
        <v>0.5970149253731343</v>
      </c>
      <c r="E42" s="1" t="n">
        <v>40</v>
      </c>
      <c r="F42" s="1" t="inlineStr"/>
      <c r="G42" s="1" t="inlineStr"/>
      <c r="H42" s="1" t="inlineStr"/>
      <c r="I42" s="1" t="inlineStr">
        <is>
          <t>Infections cured/protected</t>
        </is>
      </c>
      <c r="J42" s="1" t="inlineStr">
        <is>
          <t>Derived from nCuredInfection_median / courses started.</t>
        </is>
      </c>
    </row>
    <row r="43">
      <c r="A43" s="1" t="inlineStr">
        <is>
          <t>Cure-targeted</t>
        </is>
      </c>
      <c r="B43" s="1" t="inlineStr">
        <is>
          <t>Active TB case prevented</t>
        </is>
      </c>
      <c r="C43" s="1" t="inlineStr">
        <is>
          <t>Prevented direct case</t>
        </is>
      </c>
      <c r="D43" s="1" t="n">
        <v>0.007333333333333333</v>
      </c>
      <c r="E43" s="1" t="n">
        <v>11</v>
      </c>
      <c r="F43" s="1" t="n">
        <v>19079.6</v>
      </c>
      <c r="G43" s="1" t="n">
        <v>209875.6</v>
      </c>
      <c r="H43" s="1" t="inlineStr">
        <is>
          <t>DW 0.333; duration 0.5y</t>
        </is>
      </c>
      <c r="I43" s="1" t="inlineStr">
        <is>
          <t>DALYs/QALYs averted</t>
        </is>
      </c>
      <c r="J43" s="1" t="inlineStr">
        <is>
          <t>Direct person-level cases prevented; no transmission benefit.</t>
        </is>
      </c>
    </row>
    <row r="44">
      <c r="A44" s="1" t="inlineStr">
        <is>
          <t>Cure-targeted</t>
        </is>
      </c>
      <c r="B44" s="1" t="inlineStr">
        <is>
          <t>Active TB case not prevented</t>
        </is>
      </c>
      <c r="C44" s="1" t="inlineStr">
        <is>
          <t>Residual active TB by horizon</t>
        </is>
      </c>
      <c r="D44" s="1" t="inlineStr"/>
      <c r="E44" s="1" t="n">
        <v>26</v>
      </c>
      <c r="F44" s="1" t="inlineStr"/>
      <c r="G44" s="1" t="inlineStr"/>
      <c r="H44" s="1" t="inlineStr"/>
      <c r="I44" s="1" t="inlineStr"/>
      <c r="J44" s="1" t="inlineStr">
        <is>
          <t>From nActiveBy20y_AfterStrategy_median.</t>
        </is>
      </c>
    </row>
    <row r="45">
      <c r="A45" s="1" t="inlineStr">
        <is>
          <t>Cure-targeted</t>
        </is>
      </c>
      <c r="B45" s="1" t="inlineStr">
        <is>
          <t>DALYs averted</t>
        </is>
      </c>
      <c r="C45" s="1" t="inlineStr">
        <is>
          <t>Health outcome</t>
        </is>
      </c>
      <c r="D45" s="1" t="inlineStr"/>
      <c r="E45" s="1" t="inlineStr"/>
      <c r="F45" s="1" t="inlineStr"/>
      <c r="G45" s="1" t="inlineStr"/>
      <c r="H45" s="1" t="inlineStr">
        <is>
          <t>DW/YLL assumptions</t>
        </is>
      </c>
      <c r="I45" s="1" t="n">
        <v>18.1115</v>
      </c>
      <c r="J45" s="1" t="inlineStr">
        <is>
          <t>Includes YLD plus YLL in base case.</t>
        </is>
      </c>
    </row>
    <row r="46">
      <c r="A46" s="1" t="inlineStr">
        <is>
          <t>Cure-targeted</t>
        </is>
      </c>
      <c r="B46" s="1" t="inlineStr">
        <is>
          <t>QALYs gained</t>
        </is>
      </c>
      <c r="C46" s="1" t="inlineStr">
        <is>
          <t>Health outcome</t>
        </is>
      </c>
      <c r="D46" s="1" t="inlineStr"/>
      <c r="E46" s="1" t="inlineStr"/>
      <c r="F46" s="1" t="inlineStr"/>
      <c r="G46" s="1" t="inlineStr"/>
      <c r="H46" s="1" t="inlineStr">
        <is>
          <t>Dale-informed utilities</t>
        </is>
      </c>
      <c r="I46" s="1" t="n">
        <v>0.3027738356164379</v>
      </c>
      <c r="J46" s="1" t="inlineStr">
        <is>
          <t>Base case has no LTBI treatment decrement.</t>
        </is>
      </c>
    </row>
    <row r="47">
      <c r="A47" s="1" t="inlineStr">
        <is>
          <t>Cure-targeted</t>
        </is>
      </c>
      <c r="B47" s="1" t="inlineStr">
        <is>
          <t>Net cost</t>
        </is>
      </c>
      <c r="C47" s="1" t="inlineStr">
        <is>
          <t>Economic outcome</t>
        </is>
      </c>
      <c r="D47" s="1" t="inlineStr"/>
      <c r="E47" s="1" t="inlineStr"/>
      <c r="F47" s="1" t="inlineStr"/>
      <c r="G47" s="1" t="n">
        <v>-147720.6176</v>
      </c>
      <c r="H47" s="1" t="inlineStr"/>
      <c r="I47" s="1" t="inlineStr"/>
      <c r="J47" s="1" t="inlineStr">
        <is>
          <t>Negative means cost-saving.</t>
        </is>
      </c>
    </row>
    <row r="48">
      <c r="A48" s="1" t="inlineStr">
        <is>
          <t>Cure-targeted</t>
        </is>
      </c>
      <c r="B48" s="1" t="inlineStr">
        <is>
          <t>ICER per DALY</t>
        </is>
      </c>
      <c r="C48" s="1" t="inlineStr">
        <is>
          <t>Economic outcome</t>
        </is>
      </c>
      <c r="D48" s="1" t="inlineStr"/>
      <c r="E48" s="1" t="inlineStr"/>
      <c r="F48" s="1" t="inlineStr"/>
      <c r="G48" s="1" t="inlineStr"/>
      <c r="H48" s="1" t="inlineStr"/>
      <c r="I48" s="1" t="n">
        <v>-8156.177986362254</v>
      </c>
      <c r="J48" s="1" t="inlineStr">
        <is>
          <t>Negative because net cost is negative.</t>
        </is>
      </c>
    </row>
    <row r="49">
      <c r="A49" s="1" t="inlineStr">
        <is>
          <t>Cure-targeted</t>
        </is>
      </c>
      <c r="B49" s="1" t="inlineStr">
        <is>
          <t>ICER per QALY</t>
        </is>
      </c>
      <c r="C49" s="1" t="inlineStr">
        <is>
          <t>Economic outcome</t>
        </is>
      </c>
      <c r="D49" s="1" t="inlineStr"/>
      <c r="E49" s="1" t="inlineStr"/>
      <c r="F49" s="1" t="inlineStr"/>
      <c r="G49" s="1" t="inlineStr"/>
      <c r="H49" s="1" t="inlineStr"/>
      <c r="I49" s="1" t="n">
        <v>-487890.9609188834</v>
      </c>
      <c r="J49" s="1" t="inlineStr">
        <is>
          <t>Negative because net cost is negative.</t>
        </is>
      </c>
    </row>
    <row r="50">
      <c r="A50" s="1" t="inlineStr">
        <is>
          <t>Prevention-targeted</t>
        </is>
      </c>
      <c r="B50" s="1" t="inlineStr">
        <is>
          <t>Eligible cohort</t>
        </is>
      </c>
      <c r="C50" s="1" t="inlineStr">
        <is>
          <t>All</t>
        </is>
      </c>
      <c r="D50" s="1" t="n">
        <v>1</v>
      </c>
      <c r="E50" s="1" t="n">
        <v>1500</v>
      </c>
      <c r="F50" s="1" t="inlineStr"/>
      <c r="G50" s="1" t="inlineStr"/>
      <c r="H50" s="1" t="inlineStr"/>
      <c r="I50" s="1" t="inlineStr"/>
      <c r="J50" s="1" t="inlineStr">
        <is>
          <t>N from APY run setting.</t>
        </is>
      </c>
    </row>
    <row r="51">
      <c r="A51" s="1" t="inlineStr">
        <is>
          <t>Prevention-targeted</t>
        </is>
      </c>
      <c r="B51" s="1" t="inlineStr">
        <is>
          <t>Screened</t>
        </is>
      </c>
      <c r="C51" s="1" t="inlineStr">
        <is>
          <t>Screened within window</t>
        </is>
      </c>
      <c r="D51" s="1" t="n">
        <v>0.3</v>
      </c>
      <c r="E51" s="1" t="n">
        <v>450</v>
      </c>
      <c r="F51" s="1" t="n">
        <v>113.48</v>
      </c>
      <c r="G51" s="1" t="n">
        <v>51066</v>
      </c>
      <c r="H51" s="1" t="inlineStr"/>
      <c r="I51" s="1" t="inlineStr"/>
      <c r="J51" s="1" t="inlineStr">
        <is>
          <t>Derived from nScreened_median / N.</t>
        </is>
      </c>
    </row>
    <row r="52">
      <c r="A52" s="1" t="inlineStr">
        <is>
          <t>Prevention-targeted</t>
        </is>
      </c>
      <c r="B52" s="1" t="inlineStr">
        <is>
          <t>Not screened</t>
        </is>
      </c>
      <c r="C52" s="1" t="inlineStr">
        <is>
          <t>Not reached</t>
        </is>
      </c>
      <c r="D52" s="1" t="n">
        <v>0.7</v>
      </c>
      <c r="E52" s="1" t="n">
        <v>1050</v>
      </c>
      <c r="F52" s="1" t="inlineStr"/>
      <c r="G52" s="1" t="inlineStr"/>
      <c r="H52" s="1" t="inlineStr"/>
      <c r="I52" s="1" t="inlineStr"/>
      <c r="J52" s="1" t="inlineStr">
        <is>
          <t>Complement of screened.</t>
        </is>
      </c>
    </row>
    <row r="53">
      <c r="A53" s="1" t="inlineStr">
        <is>
          <t>Prevention-targeted</t>
        </is>
      </c>
      <c r="B53" s="1" t="inlineStr">
        <is>
          <t>TPT started</t>
        </is>
      </c>
      <c r="C53" s="1" t="inlineStr">
        <is>
          <t>Started preventive treatment</t>
        </is>
      </c>
      <c r="D53" s="1" t="n">
        <v>0.1377777777777778</v>
      </c>
      <c r="E53" s="1" t="n">
        <v>62</v>
      </c>
      <c r="F53" s="1" t="n">
        <v>165.5072</v>
      </c>
      <c r="G53" s="1" t="n">
        <v>10261.4464</v>
      </c>
      <c r="H53" s="1" t="inlineStr"/>
      <c r="I53" s="1" t="inlineStr"/>
      <c r="J53" s="1" t="inlineStr">
        <is>
          <t>Derived from courses / screened; includes true and false-positive starts.</t>
        </is>
      </c>
    </row>
    <row r="54">
      <c r="A54" s="1" t="inlineStr">
        <is>
          <t>Prevention-targeted</t>
        </is>
      </c>
      <c r="B54" s="1" t="inlineStr">
        <is>
          <t>TPT completed</t>
        </is>
      </c>
      <c r="C54" s="1" t="inlineStr">
        <is>
          <t>Completed preventive treatment</t>
        </is>
      </c>
      <c r="D54" s="1" t="n">
        <v>0.8064516129032258</v>
      </c>
      <c r="E54" s="1" t="n">
        <v>50</v>
      </c>
      <c r="F54" s="1" t="inlineStr"/>
      <c r="G54" s="1" t="inlineStr"/>
      <c r="H54" s="1" t="inlineStr"/>
      <c r="I54" s="1" t="inlineStr"/>
      <c r="J54" s="1" t="inlineStr">
        <is>
          <t>Derived from completed / started.</t>
        </is>
      </c>
    </row>
    <row r="55">
      <c r="A55" s="1" t="inlineStr">
        <is>
          <t>Prevention-targeted</t>
        </is>
      </c>
      <c r="B55" s="1" t="inlineStr">
        <is>
          <t>False positive treated</t>
        </is>
      </c>
      <c r="C55" s="1" t="inlineStr">
        <is>
          <t>Uninfected/non-active treated</t>
        </is>
      </c>
      <c r="D55" s="1" t="n">
        <v>0.09677419354838709</v>
      </c>
      <c r="E55" s="1" t="n">
        <v>6</v>
      </c>
      <c r="F55" s="1" t="n">
        <v>0</v>
      </c>
      <c r="G55" s="1" t="n">
        <v>0</v>
      </c>
      <c r="H55" s="1" t="inlineStr"/>
      <c r="I55" s="1" t="inlineStr"/>
      <c r="J55" s="1" t="inlineStr">
        <is>
          <t>False-positive incremental cost currently omitted.</t>
        </is>
      </c>
    </row>
    <row r="56">
      <c r="A56" s="1" t="inlineStr">
        <is>
          <t>Prevention-targeted</t>
        </is>
      </c>
      <c r="B56" s="1" t="inlineStr">
        <is>
          <t>ADR stop</t>
        </is>
      </c>
      <c r="C56" s="1" t="inlineStr">
        <is>
          <t>Stopped due to ADR</t>
        </is>
      </c>
      <c r="D56" s="1" t="inlineStr"/>
      <c r="E56" s="1" t="inlineStr"/>
      <c r="F56" s="1" t="inlineStr"/>
      <c r="G56" s="1" t="inlineStr"/>
      <c r="H56" s="1" t="inlineStr">
        <is>
          <t>SAE utility 0.8685</t>
        </is>
      </c>
      <c r="I56" s="1" t="inlineStr"/>
      <c r="J56" s="1" t="inlineStr">
        <is>
          <t>ADR stop count is not in the paper strategy summary CSV; requires model-output extraction if needed.</t>
        </is>
      </c>
    </row>
    <row r="57">
      <c r="A57" s="1" t="inlineStr">
        <is>
          <t>Prevention-targeted</t>
        </is>
      </c>
      <c r="B57" s="1" t="inlineStr">
        <is>
          <t>Partial course</t>
        </is>
      </c>
      <c r="C57" s="1" t="inlineStr">
        <is>
          <t>Non-complete partial course</t>
        </is>
      </c>
      <c r="D57" s="1" t="inlineStr"/>
      <c r="E57" s="1" t="inlineStr"/>
      <c r="F57" s="1" t="inlineStr"/>
      <c r="G57" s="1" t="inlineStr"/>
      <c r="H57" s="1" t="inlineStr">
        <is>
          <t>LTBI treatment decrement sensitivity</t>
        </is>
      </c>
      <c r="I57" s="1" t="inlineStr"/>
      <c r="J57" s="1" t="inlineStr">
        <is>
          <t>Partial-course count not in the paper strategy summary CSV; requires model-output extraction if needed.</t>
        </is>
      </c>
    </row>
    <row r="58">
      <c r="A58" s="1" t="inlineStr">
        <is>
          <t>Prevention-targeted</t>
        </is>
      </c>
      <c r="B58" s="1" t="inlineStr">
        <is>
          <t>Infection cured/protected</t>
        </is>
      </c>
      <c r="C58" s="1" t="inlineStr">
        <is>
          <t>Cured/protected</t>
        </is>
      </c>
      <c r="D58" s="1" t="n">
        <v>0.5967741935483871</v>
      </c>
      <c r="E58" s="1" t="n">
        <v>37</v>
      </c>
      <c r="F58" s="1" t="inlineStr"/>
      <c r="G58" s="1" t="inlineStr"/>
      <c r="H58" s="1" t="inlineStr"/>
      <c r="I58" s="1" t="inlineStr">
        <is>
          <t>Infections cured/protected</t>
        </is>
      </c>
      <c r="J58" s="1" t="inlineStr">
        <is>
          <t>Derived from nCuredInfection_median / courses started.</t>
        </is>
      </c>
    </row>
    <row r="59">
      <c r="A59" s="1" t="inlineStr">
        <is>
          <t>Prevention-targeted</t>
        </is>
      </c>
      <c r="B59" s="1" t="inlineStr">
        <is>
          <t>Active TB case prevented</t>
        </is>
      </c>
      <c r="C59" s="1" t="inlineStr">
        <is>
          <t>Prevented direct case</t>
        </is>
      </c>
      <c r="D59" s="1" t="n">
        <v>0.008</v>
      </c>
      <c r="E59" s="1" t="n">
        <v>12</v>
      </c>
      <c r="F59" s="1" t="n">
        <v>19079.6</v>
      </c>
      <c r="G59" s="1" t="n">
        <v>228955.2</v>
      </c>
      <c r="H59" s="1" t="inlineStr">
        <is>
          <t>DW 0.333; duration 0.5y</t>
        </is>
      </c>
      <c r="I59" s="1" t="inlineStr">
        <is>
          <t>DALYs/QALYs averted</t>
        </is>
      </c>
      <c r="J59" s="1" t="inlineStr">
        <is>
          <t>Direct person-level cases prevented; no transmission benefit.</t>
        </is>
      </c>
    </row>
    <row r="60">
      <c r="A60" s="1" t="inlineStr">
        <is>
          <t>Prevention-targeted</t>
        </is>
      </c>
      <c r="B60" s="1" t="inlineStr">
        <is>
          <t>Active TB case not prevented</t>
        </is>
      </c>
      <c r="C60" s="1" t="inlineStr">
        <is>
          <t>Residual active TB by horizon</t>
        </is>
      </c>
      <c r="D60" s="1" t="inlineStr"/>
      <c r="E60" s="1" t="n">
        <v>25</v>
      </c>
      <c r="F60" s="1" t="inlineStr"/>
      <c r="G60" s="1" t="inlineStr"/>
      <c r="H60" s="1" t="inlineStr"/>
      <c r="I60" s="1" t="inlineStr"/>
      <c r="J60" s="1" t="inlineStr">
        <is>
          <t>From nActiveBy20y_AfterStrategy_median.</t>
        </is>
      </c>
    </row>
    <row r="61">
      <c r="A61" s="1" t="inlineStr">
        <is>
          <t>Prevention-targeted</t>
        </is>
      </c>
      <c r="B61" s="1" t="inlineStr">
        <is>
          <t>DALYs averted</t>
        </is>
      </c>
      <c r="C61" s="1" t="inlineStr">
        <is>
          <t>Health outcome</t>
        </is>
      </c>
      <c r="D61" s="1" t="inlineStr"/>
      <c r="E61" s="1" t="inlineStr"/>
      <c r="F61" s="1" t="inlineStr"/>
      <c r="G61" s="1" t="inlineStr"/>
      <c r="H61" s="1" t="inlineStr">
        <is>
          <t>DW/YLL assumptions</t>
        </is>
      </c>
      <c r="I61" s="1" t="n">
        <v>19.758</v>
      </c>
      <c r="J61" s="1" t="inlineStr">
        <is>
          <t>Includes YLD plus YLL in base case.</t>
        </is>
      </c>
    </row>
    <row r="62">
      <c r="A62" s="1" t="inlineStr">
        <is>
          <t>Prevention-targeted</t>
        </is>
      </c>
      <c r="B62" s="1" t="inlineStr">
        <is>
          <t>QALYs gained</t>
        </is>
      </c>
      <c r="C62" s="1" t="inlineStr">
        <is>
          <t>Health outcome</t>
        </is>
      </c>
      <c r="D62" s="1" t="inlineStr"/>
      <c r="E62" s="1" t="inlineStr"/>
      <c r="F62" s="1" t="inlineStr"/>
      <c r="G62" s="1" t="inlineStr"/>
      <c r="H62" s="1" t="inlineStr">
        <is>
          <t>Dale-informed utilities</t>
        </is>
      </c>
      <c r="I62" s="1" t="n">
        <v>0.3303238356164379</v>
      </c>
      <c r="J62" s="1" t="inlineStr">
        <is>
          <t>Base case has no LTBI treatment decrement.</t>
        </is>
      </c>
    </row>
    <row r="63">
      <c r="A63" s="1" t="inlineStr">
        <is>
          <t>Prevention-targeted</t>
        </is>
      </c>
      <c r="B63" s="1" t="inlineStr">
        <is>
          <t>Net cost</t>
        </is>
      </c>
      <c r="C63" s="1" t="inlineStr">
        <is>
          <t>Economic outcome</t>
        </is>
      </c>
      <c r="D63" s="1" t="inlineStr"/>
      <c r="E63" s="1" t="inlineStr"/>
      <c r="F63" s="1" t="inlineStr"/>
      <c r="G63" s="1" t="n">
        <v>-167627.7536</v>
      </c>
      <c r="H63" s="1" t="inlineStr"/>
      <c r="I63" s="1" t="inlineStr"/>
      <c r="J63" s="1" t="inlineStr">
        <is>
          <t>Negative means cost-saving.</t>
        </is>
      </c>
    </row>
    <row r="64">
      <c r="A64" s="1" t="inlineStr">
        <is>
          <t>Prevention-targeted</t>
        </is>
      </c>
      <c r="B64" s="1" t="inlineStr">
        <is>
          <t>ICER per DALY</t>
        </is>
      </c>
      <c r="C64" s="1" t="inlineStr">
        <is>
          <t>Economic outcome</t>
        </is>
      </c>
      <c r="D64" s="1" t="inlineStr"/>
      <c r="E64" s="1" t="inlineStr"/>
      <c r="F64" s="1" t="inlineStr"/>
      <c r="G64" s="1" t="inlineStr"/>
      <c r="H64" s="1" t="inlineStr"/>
      <c r="I64" s="1" t="n">
        <v>-8484.0446199008</v>
      </c>
      <c r="J64" s="1" t="inlineStr">
        <is>
          <t>Negative because net cost is negative.</t>
        </is>
      </c>
    </row>
    <row r="65">
      <c r="A65" s="1" t="inlineStr">
        <is>
          <t>Prevention-targeted</t>
        </is>
      </c>
      <c r="B65" s="1" t="inlineStr">
        <is>
          <t>ICER per QALY</t>
        </is>
      </c>
      <c r="C65" s="1" t="inlineStr">
        <is>
          <t>Economic outcome</t>
        </is>
      </c>
      <c r="D65" s="1" t="inlineStr"/>
      <c r="E65" s="1" t="inlineStr"/>
      <c r="F65" s="1" t="inlineStr"/>
      <c r="G65" s="1" t="inlineStr"/>
      <c r="H65" s="1" t="inlineStr"/>
      <c r="I65" s="1" t="n">
        <v>-507464.9042118907</v>
      </c>
      <c r="J65" s="1" t="inlineStr">
        <is>
          <t>Negative because net cost is negative.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37" customWidth="1" min="3" max="3"/>
    <col width="18" customWidth="1" min="4" max="4"/>
    <col width="20" customWidth="1" min="5" max="5"/>
    <col width="23" customWidth="1" min="6" max="6"/>
    <col width="21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38" customWidth="1" min="13" max="13"/>
    <col width="38" customWidth="1" min="14" max="14"/>
  </cols>
  <sheetData>
    <row r="1">
      <c r="A1" s="2" t="inlineStr">
        <is>
          <t>scenario_id</t>
        </is>
      </c>
      <c r="B1" s="2" t="inlineStr">
        <is>
          <t>screeningStrategy</t>
        </is>
      </c>
      <c r="C1" s="2" t="inlineStr">
        <is>
          <t>sensitivity</t>
        </is>
      </c>
      <c r="D1" s="2" t="inlineStr">
        <is>
          <t>tbCasesPrevented</t>
        </is>
      </c>
      <c r="E1" s="2" t="inlineStr">
        <is>
          <t>dalysAverted</t>
        </is>
      </c>
      <c r="F1" s="2" t="inlineStr">
        <is>
          <t>qalysGained</t>
        </is>
      </c>
      <c r="G1" s="2" t="inlineStr">
        <is>
          <t>costPerDALYAverted</t>
        </is>
      </c>
      <c r="H1" s="2" t="inlineStr">
        <is>
          <t>costPerQALYGained</t>
        </is>
      </c>
      <c r="I1" s="2" t="inlineStr">
        <is>
          <t>nmbDALY_45000</t>
        </is>
      </c>
      <c r="J1" s="2" t="inlineStr">
        <is>
          <t>nmbDALY_75000</t>
        </is>
      </c>
      <c r="K1" s="2" t="inlineStr">
        <is>
          <t>nmbQALY_45000</t>
        </is>
      </c>
      <c r="L1" s="2" t="inlineStr">
        <is>
          <t>nmbQALY_75000</t>
        </is>
      </c>
      <c r="M1" s="2" t="inlineStr">
        <is>
          <t>notes</t>
        </is>
      </c>
      <c r="N1" s="2" t="inlineStr">
        <is>
          <t>interpretation_changes</t>
        </is>
      </c>
    </row>
    <row r="2">
      <c r="A2" s="1" t="inlineStr">
        <is>
          <t>apy_paper_random_igra_3hp</t>
        </is>
      </c>
      <c r="B2" s="1" t="inlineStr">
        <is>
          <t>random</t>
        </is>
      </c>
      <c r="C2" s="1" t="inlineStr">
        <is>
          <t>no_ltbi_treatment_utility_decrement</t>
        </is>
      </c>
      <c r="D2" s="1" t="inlineStr">
        <is>
          <t>4.0</t>
        </is>
      </c>
      <c r="E2" s="1" t="inlineStr">
        <is>
          <t>6.586</t>
        </is>
      </c>
      <c r="F2" s="1" t="inlineStr">
        <is>
          <t>0.11010794520547931</t>
        </is>
      </c>
      <c r="G2" s="1" t="inlineStr">
        <is>
          <t>-3030.089523231095</t>
        </is>
      </c>
      <c r="H2" s="1" t="inlineStr">
        <is>
          <t>-181241.86735805977</t>
        </is>
      </c>
      <c r="I2" s="1" t="inlineStr">
        <is>
          <t>316326.1696</t>
        </is>
      </c>
      <c r="J2" s="1" t="inlineStr">
        <is>
          <t>513906.1696</t>
        </is>
      </c>
      <c r="K2" s="1" t="inlineStr">
        <is>
          <t>24911.027134246564</t>
        </is>
      </c>
      <c r="L2" s="1" t="inlineStr">
        <is>
          <t>28214.265490410944</t>
        </is>
      </c>
      <c r="M2" s="1" t="inlineStr">
        <is>
          <t>Sensitivity assumption; not a final policy setting.</t>
        </is>
      </c>
      <c r="N2" s="1" t="inlineStr">
        <is>
          <t>No reversal in generated outputs; magnitude changes only.</t>
        </is>
      </c>
    </row>
    <row r="3">
      <c r="A3" s="1" t="inlineStr">
        <is>
          <t>apy_paper_random_igra_3hp</t>
        </is>
      </c>
      <c r="B3" s="1" t="inlineStr">
        <is>
          <t>random</t>
        </is>
      </c>
      <c r="C3" s="1" t="inlineStr">
        <is>
          <t>ltbi_treatment_decrement_0_0133</t>
        </is>
      </c>
      <c r="D3" s="1" t="inlineStr">
        <is>
          <t>4.0</t>
        </is>
      </c>
      <c r="E3" s="1" t="inlineStr">
        <is>
          <t>6.586</t>
        </is>
      </c>
      <c r="F3" s="1" t="inlineStr">
        <is>
          <t>0.0037079452054793183</t>
        </is>
      </c>
      <c r="G3" s="1" t="inlineStr">
        <is>
          <t>-3030.089523231095</t>
        </is>
      </c>
      <c r="H3" s="1" t="inlineStr">
        <is>
          <t>-5382002.293483272</t>
        </is>
      </c>
      <c r="I3" s="1" t="inlineStr">
        <is>
          <t>316326.1696</t>
        </is>
      </c>
      <c r="J3" s="1" t="inlineStr">
        <is>
          <t>513906.1696</t>
        </is>
      </c>
      <c r="K3" s="1" t="inlineStr">
        <is>
          <t>20123.027134246564</t>
        </is>
      </c>
      <c r="L3" s="1" t="inlineStr">
        <is>
          <t>20234.265490410944</t>
        </is>
      </c>
      <c r="M3" s="1" t="inlineStr">
        <is>
          <t>Sensitivity assumption; not a final policy setting.</t>
        </is>
      </c>
      <c r="N3" s="1" t="inlineStr">
        <is>
          <t>No reversal in generated outputs; magnitude changes only.</t>
        </is>
      </c>
    </row>
    <row r="4">
      <c r="A4" s="1" t="inlineStr">
        <is>
          <t>apy_paper_random_igra_3hp</t>
        </is>
      </c>
      <c r="B4" s="1" t="inlineStr">
        <is>
          <t>random</t>
        </is>
      </c>
      <c r="C4" s="1" t="inlineStr">
        <is>
          <t>yld_only_no_yll</t>
        </is>
      </c>
      <c r="D4" s="1" t="inlineStr">
        <is>
          <t>4.0</t>
        </is>
      </c>
      <c r="E4" s="1" t="inlineStr">
        <is>
          <t>0.666</t>
        </is>
      </c>
      <c r="F4" s="1" t="inlineStr">
        <is>
          <t>0.11010794520547931</t>
        </is>
      </c>
      <c r="G4" s="1" t="inlineStr">
        <is>
          <t>-29964.218618618608</t>
        </is>
      </c>
      <c r="H4" s="1" t="inlineStr">
        <is>
          <t>-181241.86735805977</t>
        </is>
      </c>
      <c r="I4" s="1" t="inlineStr">
        <is>
          <t>49926.169599999994</t>
        </is>
      </c>
      <c r="J4" s="1" t="inlineStr">
        <is>
          <t>69906.1696</t>
        </is>
      </c>
      <c r="K4" s="1" t="inlineStr">
        <is>
          <t>24911.027134246564</t>
        </is>
      </c>
      <c r="L4" s="1" t="inlineStr">
        <is>
          <t>28214.265490410944</t>
        </is>
      </c>
      <c r="M4" s="1" t="inlineStr">
        <is>
          <t>Sensitivity assumption; not a final policy setting.</t>
        </is>
      </c>
      <c r="N4" s="1" t="inlineStr">
        <is>
          <t>No reversal in generated outputs; magnitude changes only.</t>
        </is>
      </c>
    </row>
    <row r="5">
      <c r="A5" s="1" t="inlineStr">
        <is>
          <t>apy_paper_random_igra_3hp</t>
        </is>
      </c>
      <c r="B5" s="1" t="inlineStr">
        <is>
          <t>random</t>
        </is>
      </c>
      <c r="C5" s="1" t="inlineStr">
        <is>
          <t>conservative_yll_10</t>
        </is>
      </c>
      <c r="D5" s="1" t="inlineStr">
        <is>
          <t>4.0</t>
        </is>
      </c>
      <c r="E5" s="1" t="inlineStr">
        <is>
          <t>3.626</t>
        </is>
      </c>
      <c r="F5" s="1" t="inlineStr">
        <is>
          <t>0.11010794520547931</t>
        </is>
      </c>
      <c r="G5" s="1" t="inlineStr">
        <is>
          <t>-5503.631991174847</t>
        </is>
      </c>
      <c r="H5" s="1" t="inlineStr">
        <is>
          <t>-181241.86735805977</t>
        </is>
      </c>
      <c r="I5" s="1" t="inlineStr">
        <is>
          <t>183126.1696</t>
        </is>
      </c>
      <c r="J5" s="1" t="inlineStr">
        <is>
          <t>291906.1696</t>
        </is>
      </c>
      <c r="K5" s="1" t="inlineStr">
        <is>
          <t>24911.027134246564</t>
        </is>
      </c>
      <c r="L5" s="1" t="inlineStr">
        <is>
          <t>28214.265490410944</t>
        </is>
      </c>
      <c r="M5" s="1" t="inlineStr">
        <is>
          <t>Sensitivity assumption; not a final policy setting.</t>
        </is>
      </c>
      <c r="N5" s="1" t="inlineStr">
        <is>
          <t>No reversal in generated outputs; magnitude changes only.</t>
        </is>
      </c>
    </row>
    <row r="6">
      <c r="A6" s="1" t="inlineStr">
        <is>
          <t>apy_paper_random_igra_3hp</t>
        </is>
      </c>
      <c r="B6" s="1" t="inlineStr">
        <is>
          <t>random</t>
        </is>
      </c>
      <c r="C6" s="1" t="inlineStr">
        <is>
          <t>higher_yll_30</t>
        </is>
      </c>
      <c r="D6" s="1" t="inlineStr">
        <is>
          <t>4.0</t>
        </is>
      </c>
      <c r="E6" s="1" t="inlineStr">
        <is>
          <t>9.546</t>
        </is>
      </c>
      <c r="F6" s="1" t="inlineStr">
        <is>
          <t>0.11010794520547931</t>
        </is>
      </c>
      <c r="G6" s="1" t="inlineStr">
        <is>
          <t>-2090.5268803687404</t>
        </is>
      </c>
      <c r="H6" s="1" t="inlineStr">
        <is>
          <t>-181241.86735805977</t>
        </is>
      </c>
      <c r="I6" s="1" t="inlineStr">
        <is>
          <t>449526.1696</t>
        </is>
      </c>
      <c r="J6" s="1" t="inlineStr">
        <is>
          <t>735906.1696</t>
        </is>
      </c>
      <c r="K6" s="1" t="inlineStr">
        <is>
          <t>24911.027134246564</t>
        </is>
      </c>
      <c r="L6" s="1" t="inlineStr">
        <is>
          <t>28214.265490410944</t>
        </is>
      </c>
      <c r="M6" s="1" t="inlineStr">
        <is>
          <t>Sensitivity assumption; not a final policy setting.</t>
        </is>
      </c>
      <c r="N6" s="1" t="inlineStr">
        <is>
          <t>No reversal in generated outputs; magnitude changes only.</t>
        </is>
      </c>
    </row>
    <row r="7">
      <c r="A7" s="1" t="inlineStr">
        <is>
          <t>apy_paper_random_igra_3hp</t>
        </is>
      </c>
      <c r="B7" s="1" t="inlineStr">
        <is>
          <t>random</t>
        </is>
      </c>
      <c r="C7" s="1" t="inlineStr">
        <is>
          <t>lower_tb_case_fatality</t>
        </is>
      </c>
      <c r="D7" s="1" t="inlineStr">
        <is>
          <t>4.0</t>
        </is>
      </c>
      <c r="E7" s="1" t="inlineStr">
        <is>
          <t>3.626</t>
        </is>
      </c>
      <c r="F7" s="1" t="inlineStr">
        <is>
          <t>0.11010794520547931</t>
        </is>
      </c>
      <c r="G7" s="1" t="inlineStr">
        <is>
          <t>-5503.631991174847</t>
        </is>
      </c>
      <c r="H7" s="1" t="inlineStr">
        <is>
          <t>-181241.86735805977</t>
        </is>
      </c>
      <c r="I7" s="1" t="inlineStr">
        <is>
          <t>183126.1696</t>
        </is>
      </c>
      <c r="J7" s="1" t="inlineStr">
        <is>
          <t>291906.1696</t>
        </is>
      </c>
      <c r="K7" s="1" t="inlineStr">
        <is>
          <t>24911.027134246564</t>
        </is>
      </c>
      <c r="L7" s="1" t="inlineStr">
        <is>
          <t>28214.265490410944</t>
        </is>
      </c>
      <c r="M7" s="1" t="inlineStr">
        <is>
          <t>Sensitivity assumption; not a final policy setting.</t>
        </is>
      </c>
      <c r="N7" s="1" t="inlineStr">
        <is>
          <t>No reversal in generated outputs; magnitude changes only.</t>
        </is>
      </c>
    </row>
    <row r="8">
      <c r="A8" s="1" t="inlineStr">
        <is>
          <t>apy_paper_random_igra_3hp</t>
        </is>
      </c>
      <c r="B8" s="1" t="inlineStr">
        <is>
          <t>random</t>
        </is>
      </c>
      <c r="C8" s="1" t="inlineStr">
        <is>
          <t>higher_tb_case_fatality</t>
        </is>
      </c>
      <c r="D8" s="1" t="inlineStr">
        <is>
          <t>4.0</t>
        </is>
      </c>
      <c r="E8" s="1" t="inlineStr">
        <is>
          <t>9.546000000000001</t>
        </is>
      </c>
      <c r="F8" s="1" t="inlineStr">
        <is>
          <t>0.11010794520547931</t>
        </is>
      </c>
      <c r="G8" s="1" t="inlineStr">
        <is>
          <t>-2090.52688036874</t>
        </is>
      </c>
      <c r="H8" s="1" t="inlineStr">
        <is>
          <t>-181241.86735805977</t>
        </is>
      </c>
      <c r="I8" s="1" t="inlineStr">
        <is>
          <t>449526.1696</t>
        </is>
      </c>
      <c r="J8" s="1" t="inlineStr">
        <is>
          <t>735906.1696000001</t>
        </is>
      </c>
      <c r="K8" s="1" t="inlineStr">
        <is>
          <t>24911.027134246564</t>
        </is>
      </c>
      <c r="L8" s="1" t="inlineStr">
        <is>
          <t>28214.265490410944</t>
        </is>
      </c>
      <c r="M8" s="1" t="inlineStr">
        <is>
          <t>Sensitivity assumption; not a final policy setting.</t>
        </is>
      </c>
      <c r="N8" s="1" t="inlineStr">
        <is>
          <t>No reversal in generated outputs; magnitude changes only.</t>
        </is>
      </c>
    </row>
    <row r="9">
      <c r="A9" s="1" t="inlineStr">
        <is>
          <t>apy_paper_ltbi_igra_3hp</t>
        </is>
      </c>
      <c r="B9" s="1" t="inlineStr">
        <is>
          <t>ltbi</t>
        </is>
      </c>
      <c r="C9" s="1" t="inlineStr">
        <is>
          <t>no_ltbi_treatment_utility_decrement</t>
        </is>
      </c>
      <c r="D9" s="1" t="inlineStr">
        <is>
          <t>11.0</t>
        </is>
      </c>
      <c r="E9" s="1" t="inlineStr">
        <is>
          <t>18.1115</t>
        </is>
      </c>
      <c r="F9" s="1" t="inlineStr">
        <is>
          <t>0.30277383561643795</t>
        </is>
      </c>
      <c r="G9" s="1" t="inlineStr">
        <is>
          <t>-8156.177986362254</t>
        </is>
      </c>
      <c r="H9" s="1" t="inlineStr">
        <is>
          <t>-487890.96091888344</t>
        </is>
      </c>
      <c r="I9" s="1" t="inlineStr">
        <is>
          <t>962738.1176</t>
        </is>
      </c>
      <c r="J9" s="1" t="inlineStr">
        <is>
          <t>1506083.1176</t>
        </is>
      </c>
      <c r="K9" s="1" t="inlineStr">
        <is>
          <t>161345.44020273967</t>
        </is>
      </c>
      <c r="L9" s="1" t="inlineStr">
        <is>
          <t>170428.65527123283</t>
        </is>
      </c>
      <c r="M9" s="1" t="inlineStr">
        <is>
          <t>Sensitivity assumption; not a final policy setting.</t>
        </is>
      </c>
      <c r="N9" s="1" t="inlineStr">
        <is>
          <t>No reversal in generated outputs; magnitude changes only.</t>
        </is>
      </c>
    </row>
    <row r="10">
      <c r="A10" s="1" t="inlineStr">
        <is>
          <t>apy_paper_ltbi_igra_3hp</t>
        </is>
      </c>
      <c r="B10" s="1" t="inlineStr">
        <is>
          <t>ltbi</t>
        </is>
      </c>
      <c r="C10" s="1" t="inlineStr">
        <is>
          <t>ltbi_treatment_decrement_0_0133</t>
        </is>
      </c>
      <c r="D10" s="1" t="inlineStr">
        <is>
          <t>11.0</t>
        </is>
      </c>
      <c r="E10" s="1" t="inlineStr">
        <is>
          <t>18.1115</t>
        </is>
      </c>
      <c r="F10" s="1" t="inlineStr">
        <is>
          <t>0.07999883561643795</t>
        </is>
      </c>
      <c r="G10" s="1" t="inlineStr">
        <is>
          <t>-8156.177986362254</t>
        </is>
      </c>
      <c r="H10" s="1" t="inlineStr">
        <is>
          <t>-1846534.595931628</t>
        </is>
      </c>
      <c r="I10" s="1" t="inlineStr">
        <is>
          <t>962738.1176</t>
        </is>
      </c>
      <c r="J10" s="1" t="inlineStr">
        <is>
          <t>1506083.1176</t>
        </is>
      </c>
      <c r="K10" s="1" t="inlineStr">
        <is>
          <t>151320.56520273967</t>
        </is>
      </c>
      <c r="L10" s="1" t="inlineStr">
        <is>
          <t>153720.53027123283</t>
        </is>
      </c>
      <c r="M10" s="1" t="inlineStr">
        <is>
          <t>Sensitivity assumption; not a final policy setting.</t>
        </is>
      </c>
      <c r="N10" s="1" t="inlineStr">
        <is>
          <t>No reversal in generated outputs; magnitude changes only.</t>
        </is>
      </c>
    </row>
    <row r="11">
      <c r="A11" s="1" t="inlineStr">
        <is>
          <t>apy_paper_ltbi_igra_3hp</t>
        </is>
      </c>
      <c r="B11" s="1" t="inlineStr">
        <is>
          <t>ltbi</t>
        </is>
      </c>
      <c r="C11" s="1" t="inlineStr">
        <is>
          <t>yld_only_no_yll</t>
        </is>
      </c>
      <c r="D11" s="1" t="inlineStr">
        <is>
          <t>11.0</t>
        </is>
      </c>
      <c r="E11" s="1" t="inlineStr">
        <is>
          <t>1.8315000000000001</t>
        </is>
      </c>
      <c r="F11" s="1" t="inlineStr">
        <is>
          <t>0.30277383561643795</t>
        </is>
      </c>
      <c r="G11" s="1" t="inlineStr">
        <is>
          <t>-80655.53786513784</t>
        </is>
      </c>
      <c r="H11" s="1" t="inlineStr">
        <is>
          <t>-487890.96091888344</t>
        </is>
      </c>
      <c r="I11" s="1" t="inlineStr">
        <is>
          <t>230138.11759999997</t>
        </is>
      </c>
      <c r="J11" s="1" t="inlineStr">
        <is>
          <t>285083.1176</t>
        </is>
      </c>
      <c r="K11" s="1" t="inlineStr">
        <is>
          <t>161345.44020273967</t>
        </is>
      </c>
      <c r="L11" s="1" t="inlineStr">
        <is>
          <t>170428.65527123283</t>
        </is>
      </c>
      <c r="M11" s="1" t="inlineStr">
        <is>
          <t>Sensitivity assumption; not a final policy setting.</t>
        </is>
      </c>
      <c r="N11" s="1" t="inlineStr">
        <is>
          <t>No reversal in generated outputs; magnitude changes only.</t>
        </is>
      </c>
    </row>
    <row r="12">
      <c r="A12" s="1" t="inlineStr">
        <is>
          <t>apy_paper_ltbi_igra_3hp</t>
        </is>
      </c>
      <c r="B12" s="1" t="inlineStr">
        <is>
          <t>ltbi</t>
        </is>
      </c>
      <c r="C12" s="1" t="inlineStr">
        <is>
          <t>conservative_yll_10</t>
        </is>
      </c>
      <c r="D12" s="1" t="inlineStr">
        <is>
          <t>11.0</t>
        </is>
      </c>
      <c r="E12" s="1" t="inlineStr">
        <is>
          <t>9.971499999999999</t>
        </is>
      </c>
      <c r="F12" s="1" t="inlineStr">
        <is>
          <t>0.30277383561643795</t>
        </is>
      </c>
      <c r="G12" s="1" t="inlineStr">
        <is>
          <t>-14814.28246502532</t>
        </is>
      </c>
      <c r="H12" s="1" t="inlineStr">
        <is>
          <t>-487890.96091888344</t>
        </is>
      </c>
      <c r="I12" s="1" t="inlineStr">
        <is>
          <t>596438.1175999999</t>
        </is>
      </c>
      <c r="J12" s="1" t="inlineStr">
        <is>
          <t>895583.1175999999</t>
        </is>
      </c>
      <c r="K12" s="1" t="inlineStr">
        <is>
          <t>161345.44020273967</t>
        </is>
      </c>
      <c r="L12" s="1" t="inlineStr">
        <is>
          <t>170428.65527123283</t>
        </is>
      </c>
      <c r="M12" s="1" t="inlineStr">
        <is>
          <t>Sensitivity assumption; not a final policy setting.</t>
        </is>
      </c>
      <c r="N12" s="1" t="inlineStr">
        <is>
          <t>No reversal in generated outputs; magnitude changes only.</t>
        </is>
      </c>
    </row>
    <row r="13">
      <c r="A13" s="1" t="inlineStr">
        <is>
          <t>apy_paper_ltbi_igra_3hp</t>
        </is>
      </c>
      <c r="B13" s="1" t="inlineStr">
        <is>
          <t>ltbi</t>
        </is>
      </c>
      <c r="C13" s="1" t="inlineStr">
        <is>
          <t>higher_yll_30</t>
        </is>
      </c>
      <c r="D13" s="1" t="inlineStr">
        <is>
          <t>11.0</t>
        </is>
      </c>
      <c r="E13" s="1" t="inlineStr">
        <is>
          <t>26.2515</t>
        </is>
      </c>
      <c r="F13" s="1" t="inlineStr">
        <is>
          <t>0.30277383561643795</t>
        </is>
      </c>
      <c r="G13" s="1" t="inlineStr">
        <is>
          <t>-5627.130548730547</t>
        </is>
      </c>
      <c r="H13" s="1" t="inlineStr">
        <is>
          <t>-487890.96091888344</t>
        </is>
      </c>
      <c r="I13" s="1" t="inlineStr">
        <is>
          <t>1329038.1176</t>
        </is>
      </c>
      <c r="J13" s="1" t="inlineStr">
        <is>
          <t>2116583.1176</t>
        </is>
      </c>
      <c r="K13" s="1" t="inlineStr">
        <is>
          <t>161345.44020273967</t>
        </is>
      </c>
      <c r="L13" s="1" t="inlineStr">
        <is>
          <t>170428.65527123283</t>
        </is>
      </c>
      <c r="M13" s="1" t="inlineStr">
        <is>
          <t>Sensitivity assumption; not a final policy setting.</t>
        </is>
      </c>
      <c r="N13" s="1" t="inlineStr">
        <is>
          <t>No reversal in generated outputs; magnitude changes only.</t>
        </is>
      </c>
    </row>
    <row r="14">
      <c r="A14" s="1" t="inlineStr">
        <is>
          <t>apy_paper_ltbi_igra_3hp</t>
        </is>
      </c>
      <c r="B14" s="1" t="inlineStr">
        <is>
          <t>ltbi</t>
        </is>
      </c>
      <c r="C14" s="1" t="inlineStr">
        <is>
          <t>lower_tb_case_fatality</t>
        </is>
      </c>
      <c r="D14" s="1" t="inlineStr">
        <is>
          <t>11.0</t>
        </is>
      </c>
      <c r="E14" s="1" t="inlineStr">
        <is>
          <t>9.971499999999999</t>
        </is>
      </c>
      <c r="F14" s="1" t="inlineStr">
        <is>
          <t>0.30277383561643795</t>
        </is>
      </c>
      <c r="G14" s="1" t="inlineStr">
        <is>
          <t>-14814.28246502532</t>
        </is>
      </c>
      <c r="H14" s="1" t="inlineStr">
        <is>
          <t>-487890.96091888344</t>
        </is>
      </c>
      <c r="I14" s="1" t="inlineStr">
        <is>
          <t>596438.1175999999</t>
        </is>
      </c>
      <c r="J14" s="1" t="inlineStr">
        <is>
          <t>895583.1175999999</t>
        </is>
      </c>
      <c r="K14" s="1" t="inlineStr">
        <is>
          <t>161345.44020273967</t>
        </is>
      </c>
      <c r="L14" s="1" t="inlineStr">
        <is>
          <t>170428.65527123283</t>
        </is>
      </c>
      <c r="M14" s="1" t="inlineStr">
        <is>
          <t>Sensitivity assumption; not a final policy setting.</t>
        </is>
      </c>
      <c r="N14" s="1" t="inlineStr">
        <is>
          <t>No reversal in generated outputs; magnitude changes only.</t>
        </is>
      </c>
    </row>
    <row r="15">
      <c r="A15" s="1" t="inlineStr">
        <is>
          <t>apy_paper_ltbi_igra_3hp</t>
        </is>
      </c>
      <c r="B15" s="1" t="inlineStr">
        <is>
          <t>ltbi</t>
        </is>
      </c>
      <c r="C15" s="1" t="inlineStr">
        <is>
          <t>higher_tb_case_fatality</t>
        </is>
      </c>
      <c r="D15" s="1" t="inlineStr">
        <is>
          <t>11.0</t>
        </is>
      </c>
      <c r="E15" s="1" t="inlineStr">
        <is>
          <t>26.2515</t>
        </is>
      </c>
      <c r="F15" s="1" t="inlineStr">
        <is>
          <t>0.30277383561643795</t>
        </is>
      </c>
      <c r="G15" s="1" t="inlineStr">
        <is>
          <t>-5627.130548730547</t>
        </is>
      </c>
      <c r="H15" s="1" t="inlineStr">
        <is>
          <t>-487890.96091888344</t>
        </is>
      </c>
      <c r="I15" s="1" t="inlineStr">
        <is>
          <t>1329038.1176</t>
        </is>
      </c>
      <c r="J15" s="1" t="inlineStr">
        <is>
          <t>2116583.1176</t>
        </is>
      </c>
      <c r="K15" s="1" t="inlineStr">
        <is>
          <t>161345.44020273967</t>
        </is>
      </c>
      <c r="L15" s="1" t="inlineStr">
        <is>
          <t>170428.65527123283</t>
        </is>
      </c>
      <c r="M15" s="1" t="inlineStr">
        <is>
          <t>Sensitivity assumption; not a final policy setting.</t>
        </is>
      </c>
      <c r="N15" s="1" t="inlineStr">
        <is>
          <t>No reversal in generated outputs; magnitude changes only.</t>
        </is>
      </c>
    </row>
    <row r="16">
      <c r="A16" s="1" t="inlineStr">
        <is>
          <t>apy_paper_cure_igra_3hp</t>
        </is>
      </c>
      <c r="B16" s="1" t="inlineStr">
        <is>
          <t>cure</t>
        </is>
      </c>
      <c r="C16" s="1" t="inlineStr">
        <is>
          <t>no_ltbi_treatment_utility_decrement</t>
        </is>
      </c>
      <c r="D16" s="1" t="inlineStr">
        <is>
          <t>11.0</t>
        </is>
      </c>
      <c r="E16" s="1" t="inlineStr">
        <is>
          <t>18.1115</t>
        </is>
      </c>
      <c r="F16" s="1" t="inlineStr">
        <is>
          <t>0.30277383561643795</t>
        </is>
      </c>
      <c r="G16" s="1" t="inlineStr">
        <is>
          <t>-8156.177986362254</t>
        </is>
      </c>
      <c r="H16" s="1" t="inlineStr">
        <is>
          <t>-487890.96091888344</t>
        </is>
      </c>
      <c r="I16" s="1" t="inlineStr">
        <is>
          <t>962738.1176</t>
        </is>
      </c>
      <c r="J16" s="1" t="inlineStr">
        <is>
          <t>1506083.1176</t>
        </is>
      </c>
      <c r="K16" s="1" t="inlineStr">
        <is>
          <t>161345.44020273967</t>
        </is>
      </c>
      <c r="L16" s="1" t="inlineStr">
        <is>
          <t>170428.65527123283</t>
        </is>
      </c>
      <c r="M16" s="1" t="inlineStr">
        <is>
          <t>Sensitivity assumption; not a final policy setting.</t>
        </is>
      </c>
      <c r="N16" s="1" t="inlineStr">
        <is>
          <t>No reversal in generated outputs; magnitude changes only.</t>
        </is>
      </c>
    </row>
    <row r="17">
      <c r="A17" s="1" t="inlineStr">
        <is>
          <t>apy_paper_cure_igra_3hp</t>
        </is>
      </c>
      <c r="B17" s="1" t="inlineStr">
        <is>
          <t>cure</t>
        </is>
      </c>
      <c r="C17" s="1" t="inlineStr">
        <is>
          <t>ltbi_treatment_decrement_0_0133</t>
        </is>
      </c>
      <c r="D17" s="1" t="inlineStr">
        <is>
          <t>11.0</t>
        </is>
      </c>
      <c r="E17" s="1" t="inlineStr">
        <is>
          <t>18.1115</t>
        </is>
      </c>
      <c r="F17" s="1" t="inlineStr">
        <is>
          <t>0.07999883561643795</t>
        </is>
      </c>
      <c r="G17" s="1" t="inlineStr">
        <is>
          <t>-8156.177986362254</t>
        </is>
      </c>
      <c r="H17" s="1" t="inlineStr">
        <is>
          <t>-1846534.595931628</t>
        </is>
      </c>
      <c r="I17" s="1" t="inlineStr">
        <is>
          <t>962738.1176</t>
        </is>
      </c>
      <c r="J17" s="1" t="inlineStr">
        <is>
          <t>1506083.1176</t>
        </is>
      </c>
      <c r="K17" s="1" t="inlineStr">
        <is>
          <t>151320.56520273967</t>
        </is>
      </c>
      <c r="L17" s="1" t="inlineStr">
        <is>
          <t>153720.53027123283</t>
        </is>
      </c>
      <c r="M17" s="1" t="inlineStr">
        <is>
          <t>Sensitivity assumption; not a final policy setting.</t>
        </is>
      </c>
      <c r="N17" s="1" t="inlineStr">
        <is>
          <t>No reversal in generated outputs; magnitude changes only.</t>
        </is>
      </c>
    </row>
    <row r="18">
      <c r="A18" s="1" t="inlineStr">
        <is>
          <t>apy_paper_cure_igra_3hp</t>
        </is>
      </c>
      <c r="B18" s="1" t="inlineStr">
        <is>
          <t>cure</t>
        </is>
      </c>
      <c r="C18" s="1" t="inlineStr">
        <is>
          <t>yld_only_no_yll</t>
        </is>
      </c>
      <c r="D18" s="1" t="inlineStr">
        <is>
          <t>11.0</t>
        </is>
      </c>
      <c r="E18" s="1" t="inlineStr">
        <is>
          <t>1.8315000000000001</t>
        </is>
      </c>
      <c r="F18" s="1" t="inlineStr">
        <is>
          <t>0.30277383561643795</t>
        </is>
      </c>
      <c r="G18" s="1" t="inlineStr">
        <is>
          <t>-80655.53786513784</t>
        </is>
      </c>
      <c r="H18" s="1" t="inlineStr">
        <is>
          <t>-487890.96091888344</t>
        </is>
      </c>
      <c r="I18" s="1" t="inlineStr">
        <is>
          <t>230138.11759999997</t>
        </is>
      </c>
      <c r="J18" s="1" t="inlineStr">
        <is>
          <t>285083.1176</t>
        </is>
      </c>
      <c r="K18" s="1" t="inlineStr">
        <is>
          <t>161345.44020273967</t>
        </is>
      </c>
      <c r="L18" s="1" t="inlineStr">
        <is>
          <t>170428.65527123283</t>
        </is>
      </c>
      <c r="M18" s="1" t="inlineStr">
        <is>
          <t>Sensitivity assumption; not a final policy setting.</t>
        </is>
      </c>
      <c r="N18" s="1" t="inlineStr">
        <is>
          <t>No reversal in generated outputs; magnitude changes only.</t>
        </is>
      </c>
    </row>
    <row r="19">
      <c r="A19" s="1" t="inlineStr">
        <is>
          <t>apy_paper_cure_igra_3hp</t>
        </is>
      </c>
      <c r="B19" s="1" t="inlineStr">
        <is>
          <t>cure</t>
        </is>
      </c>
      <c r="C19" s="1" t="inlineStr">
        <is>
          <t>conservative_yll_10</t>
        </is>
      </c>
      <c r="D19" s="1" t="inlineStr">
        <is>
          <t>11.0</t>
        </is>
      </c>
      <c r="E19" s="1" t="inlineStr">
        <is>
          <t>9.971499999999999</t>
        </is>
      </c>
      <c r="F19" s="1" t="inlineStr">
        <is>
          <t>0.30277383561643795</t>
        </is>
      </c>
      <c r="G19" s="1" t="inlineStr">
        <is>
          <t>-14814.28246502532</t>
        </is>
      </c>
      <c r="H19" s="1" t="inlineStr">
        <is>
          <t>-487890.96091888344</t>
        </is>
      </c>
      <c r="I19" s="1" t="inlineStr">
        <is>
          <t>596438.1175999999</t>
        </is>
      </c>
      <c r="J19" s="1" t="inlineStr">
        <is>
          <t>895583.1175999999</t>
        </is>
      </c>
      <c r="K19" s="1" t="inlineStr">
        <is>
          <t>161345.44020273967</t>
        </is>
      </c>
      <c r="L19" s="1" t="inlineStr">
        <is>
          <t>170428.65527123283</t>
        </is>
      </c>
      <c r="M19" s="1" t="inlineStr">
        <is>
          <t>Sensitivity assumption; not a final policy setting.</t>
        </is>
      </c>
      <c r="N19" s="1" t="inlineStr">
        <is>
          <t>No reversal in generated outputs; magnitude changes only.</t>
        </is>
      </c>
    </row>
    <row r="20">
      <c r="A20" s="1" t="inlineStr">
        <is>
          <t>apy_paper_cure_igra_3hp</t>
        </is>
      </c>
      <c r="B20" s="1" t="inlineStr">
        <is>
          <t>cure</t>
        </is>
      </c>
      <c r="C20" s="1" t="inlineStr">
        <is>
          <t>higher_yll_30</t>
        </is>
      </c>
      <c r="D20" s="1" t="inlineStr">
        <is>
          <t>11.0</t>
        </is>
      </c>
      <c r="E20" s="1" t="inlineStr">
        <is>
          <t>26.2515</t>
        </is>
      </c>
      <c r="F20" s="1" t="inlineStr">
        <is>
          <t>0.30277383561643795</t>
        </is>
      </c>
      <c r="G20" s="1" t="inlineStr">
        <is>
          <t>-5627.130548730547</t>
        </is>
      </c>
      <c r="H20" s="1" t="inlineStr">
        <is>
          <t>-487890.96091888344</t>
        </is>
      </c>
      <c r="I20" s="1" t="inlineStr">
        <is>
          <t>1329038.1176</t>
        </is>
      </c>
      <c r="J20" s="1" t="inlineStr">
        <is>
          <t>2116583.1176</t>
        </is>
      </c>
      <c r="K20" s="1" t="inlineStr">
        <is>
          <t>161345.44020273967</t>
        </is>
      </c>
      <c r="L20" s="1" t="inlineStr">
        <is>
          <t>170428.65527123283</t>
        </is>
      </c>
      <c r="M20" s="1" t="inlineStr">
        <is>
          <t>Sensitivity assumption; not a final policy setting.</t>
        </is>
      </c>
      <c r="N20" s="1" t="inlineStr">
        <is>
          <t>No reversal in generated outputs; magnitude changes only.</t>
        </is>
      </c>
    </row>
    <row r="21">
      <c r="A21" s="1" t="inlineStr">
        <is>
          <t>apy_paper_cure_igra_3hp</t>
        </is>
      </c>
      <c r="B21" s="1" t="inlineStr">
        <is>
          <t>cure</t>
        </is>
      </c>
      <c r="C21" s="1" t="inlineStr">
        <is>
          <t>lower_tb_case_fatality</t>
        </is>
      </c>
      <c r="D21" s="1" t="inlineStr">
        <is>
          <t>11.0</t>
        </is>
      </c>
      <c r="E21" s="1" t="inlineStr">
        <is>
          <t>9.971499999999999</t>
        </is>
      </c>
      <c r="F21" s="1" t="inlineStr">
        <is>
          <t>0.30277383561643795</t>
        </is>
      </c>
      <c r="G21" s="1" t="inlineStr">
        <is>
          <t>-14814.28246502532</t>
        </is>
      </c>
      <c r="H21" s="1" t="inlineStr">
        <is>
          <t>-487890.96091888344</t>
        </is>
      </c>
      <c r="I21" s="1" t="inlineStr">
        <is>
          <t>596438.1175999999</t>
        </is>
      </c>
      <c r="J21" s="1" t="inlineStr">
        <is>
          <t>895583.1175999999</t>
        </is>
      </c>
      <c r="K21" s="1" t="inlineStr">
        <is>
          <t>161345.44020273967</t>
        </is>
      </c>
      <c r="L21" s="1" t="inlineStr">
        <is>
          <t>170428.65527123283</t>
        </is>
      </c>
      <c r="M21" s="1" t="inlineStr">
        <is>
          <t>Sensitivity assumption; not a final policy setting.</t>
        </is>
      </c>
      <c r="N21" s="1" t="inlineStr">
        <is>
          <t>No reversal in generated outputs; magnitude changes only.</t>
        </is>
      </c>
    </row>
    <row r="22">
      <c r="A22" s="1" t="inlineStr">
        <is>
          <t>apy_paper_cure_igra_3hp</t>
        </is>
      </c>
      <c r="B22" s="1" t="inlineStr">
        <is>
          <t>cure</t>
        </is>
      </c>
      <c r="C22" s="1" t="inlineStr">
        <is>
          <t>higher_tb_case_fatality</t>
        </is>
      </c>
      <c r="D22" s="1" t="inlineStr">
        <is>
          <t>11.0</t>
        </is>
      </c>
      <c r="E22" s="1" t="inlineStr">
        <is>
          <t>26.2515</t>
        </is>
      </c>
      <c r="F22" s="1" t="inlineStr">
        <is>
          <t>0.30277383561643795</t>
        </is>
      </c>
      <c r="G22" s="1" t="inlineStr">
        <is>
          <t>-5627.130548730547</t>
        </is>
      </c>
      <c r="H22" s="1" t="inlineStr">
        <is>
          <t>-487890.96091888344</t>
        </is>
      </c>
      <c r="I22" s="1" t="inlineStr">
        <is>
          <t>1329038.1176</t>
        </is>
      </c>
      <c r="J22" s="1" t="inlineStr">
        <is>
          <t>2116583.1176</t>
        </is>
      </c>
      <c r="K22" s="1" t="inlineStr">
        <is>
          <t>161345.44020273967</t>
        </is>
      </c>
      <c r="L22" s="1" t="inlineStr">
        <is>
          <t>170428.65527123283</t>
        </is>
      </c>
      <c r="M22" s="1" t="inlineStr">
        <is>
          <t>Sensitivity assumption; not a final policy setting.</t>
        </is>
      </c>
      <c r="N22" s="1" t="inlineStr">
        <is>
          <t>No reversal in generated outputs; magnitude changes only.</t>
        </is>
      </c>
    </row>
    <row r="23">
      <c r="A23" s="1" t="inlineStr">
        <is>
          <t>apy_paper_prevent_igra_3hp</t>
        </is>
      </c>
      <c r="B23" s="1" t="inlineStr">
        <is>
          <t>prevent</t>
        </is>
      </c>
      <c r="C23" s="1" t="inlineStr">
        <is>
          <t>no_ltbi_treatment_utility_decrement</t>
        </is>
      </c>
      <c r="D23" s="1" t="inlineStr">
        <is>
          <t>12.0</t>
        </is>
      </c>
      <c r="E23" s="1" t="inlineStr">
        <is>
          <t>19.758</t>
        </is>
      </c>
      <c r="F23" s="1" t="inlineStr">
        <is>
          <t>0.3303238356164379</t>
        </is>
      </c>
      <c r="G23" s="1" t="inlineStr">
        <is>
          <t>-8484.0446199008</t>
        </is>
      </c>
      <c r="H23" s="1" t="inlineStr">
        <is>
          <t>-507464.9042118907</t>
        </is>
      </c>
      <c r="I23" s="1" t="inlineStr">
        <is>
          <t>1056737.7536</t>
        </is>
      </c>
      <c r="J23" s="1" t="inlineStr">
        <is>
          <t>1649477.7536</t>
        </is>
      </c>
      <c r="K23" s="1" t="inlineStr">
        <is>
          <t>182492.3262027397</t>
        </is>
      </c>
      <c r="L23" s="1" t="inlineStr">
        <is>
          <t>192402.04127123283</t>
        </is>
      </c>
      <c r="M23" s="1" t="inlineStr">
        <is>
          <t>Sensitivity assumption; not a final policy setting.</t>
        </is>
      </c>
      <c r="N23" s="1" t="inlineStr">
        <is>
          <t>No reversal in generated outputs; magnitude changes only.</t>
        </is>
      </c>
    </row>
    <row r="24">
      <c r="A24" s="1" t="inlineStr">
        <is>
          <t>apy_paper_prevent_igra_3hp</t>
        </is>
      </c>
      <c r="B24" s="1" t="inlineStr">
        <is>
          <t>prevent</t>
        </is>
      </c>
      <c r="C24" s="1" t="inlineStr">
        <is>
          <t>ltbi_treatment_decrement_0_0133</t>
        </is>
      </c>
      <c r="D24" s="1" t="inlineStr">
        <is>
          <t>12.0</t>
        </is>
      </c>
      <c r="E24" s="1" t="inlineStr">
        <is>
          <t>19.758</t>
        </is>
      </c>
      <c r="F24" s="1" t="inlineStr">
        <is>
          <t>0.12417383561643791</t>
        </is>
      </c>
      <c r="G24" s="1" t="inlineStr">
        <is>
          <t>-8484.0446199008</t>
        </is>
      </c>
      <c r="H24" s="1" t="inlineStr">
        <is>
          <t>-1349944.2355778348</t>
        </is>
      </c>
      <c r="I24" s="1" t="inlineStr">
        <is>
          <t>1056737.7536</t>
        </is>
      </c>
      <c r="J24" s="1" t="inlineStr">
        <is>
          <t>1649477.7536</t>
        </is>
      </c>
      <c r="K24" s="1" t="inlineStr">
        <is>
          <t>173215.5762027397</t>
        </is>
      </c>
      <c r="L24" s="1" t="inlineStr">
        <is>
          <t>176940.79127123283</t>
        </is>
      </c>
      <c r="M24" s="1" t="inlineStr">
        <is>
          <t>Sensitivity assumption; not a final policy setting.</t>
        </is>
      </c>
      <c r="N24" s="1" t="inlineStr">
        <is>
          <t>No reversal in generated outputs; magnitude changes only.</t>
        </is>
      </c>
    </row>
    <row r="25">
      <c r="A25" s="1" t="inlineStr">
        <is>
          <t>apy_paper_prevent_igra_3hp</t>
        </is>
      </c>
      <c r="B25" s="1" t="inlineStr">
        <is>
          <t>prevent</t>
        </is>
      </c>
      <c r="C25" s="1" t="inlineStr">
        <is>
          <t>yld_only_no_yll</t>
        </is>
      </c>
      <c r="D25" s="1" t="inlineStr">
        <is>
          <t>12.0</t>
        </is>
      </c>
      <c r="E25" s="1" t="inlineStr">
        <is>
          <t>1.9980000000000002</t>
        </is>
      </c>
      <c r="F25" s="1" t="inlineStr">
        <is>
          <t>0.3303238356164379</t>
        </is>
      </c>
      <c r="G25" s="1" t="inlineStr">
        <is>
          <t>-83897.77457457456</t>
        </is>
      </c>
      <c r="H25" s="1" t="inlineStr">
        <is>
          <t>-507464.9042118907</t>
        </is>
      </c>
      <c r="I25" s="1" t="inlineStr">
        <is>
          <t>257537.7536</t>
        </is>
      </c>
      <c r="J25" s="1" t="inlineStr">
        <is>
          <t>317477.75360000005</t>
        </is>
      </c>
      <c r="K25" s="1" t="inlineStr">
        <is>
          <t>182492.3262027397</t>
        </is>
      </c>
      <c r="L25" s="1" t="inlineStr">
        <is>
          <t>192402.04127123283</t>
        </is>
      </c>
      <c r="M25" s="1" t="inlineStr">
        <is>
          <t>Sensitivity assumption; not a final policy setting.</t>
        </is>
      </c>
      <c r="N25" s="1" t="inlineStr">
        <is>
          <t>No reversal in generated outputs; magnitude changes only.</t>
        </is>
      </c>
    </row>
    <row r="26">
      <c r="A26" s="1" t="inlineStr">
        <is>
          <t>apy_paper_prevent_igra_3hp</t>
        </is>
      </c>
      <c r="B26" s="1" t="inlineStr">
        <is>
          <t>prevent</t>
        </is>
      </c>
      <c r="C26" s="1" t="inlineStr">
        <is>
          <t>conservative_yll_10</t>
        </is>
      </c>
      <c r="D26" s="1" t="inlineStr">
        <is>
          <t>12.0</t>
        </is>
      </c>
      <c r="E26" s="1" t="inlineStr">
        <is>
          <t>10.878</t>
        </is>
      </c>
      <c r="F26" s="1" t="inlineStr">
        <is>
          <t>0.3303238356164379</t>
        </is>
      </c>
      <c r="G26" s="1" t="inlineStr">
        <is>
          <t>-15409.7953300239</t>
        </is>
      </c>
      <c r="H26" s="1" t="inlineStr">
        <is>
          <t>-507464.9042118907</t>
        </is>
      </c>
      <c r="I26" s="1" t="inlineStr">
        <is>
          <t>657137.7535999999</t>
        </is>
      </c>
      <c r="J26" s="1" t="inlineStr">
        <is>
          <t>983477.7535999999</t>
        </is>
      </c>
      <c r="K26" s="1" t="inlineStr">
        <is>
          <t>182492.3262027397</t>
        </is>
      </c>
      <c r="L26" s="1" t="inlineStr">
        <is>
          <t>192402.04127123283</t>
        </is>
      </c>
      <c r="M26" s="1" t="inlineStr">
        <is>
          <t>Sensitivity assumption; not a final policy setting.</t>
        </is>
      </c>
      <c r="N26" s="1" t="inlineStr">
        <is>
          <t>No reversal in generated outputs; magnitude changes only.</t>
        </is>
      </c>
    </row>
    <row r="27">
      <c r="A27" s="1" t="inlineStr">
        <is>
          <t>apy_paper_prevent_igra_3hp</t>
        </is>
      </c>
      <c r="B27" s="1" t="inlineStr">
        <is>
          <t>prevent</t>
        </is>
      </c>
      <c r="C27" s="1" t="inlineStr">
        <is>
          <t>higher_yll_30</t>
        </is>
      </c>
      <c r="D27" s="1" t="inlineStr">
        <is>
          <t>12.0</t>
        </is>
      </c>
      <c r="E27" s="1" t="inlineStr">
        <is>
          <t>28.637999999999998</t>
        </is>
      </c>
      <c r="F27" s="1" t="inlineStr">
        <is>
          <t>0.3303238356164379</t>
        </is>
      </c>
      <c r="G27" s="1" t="inlineStr">
        <is>
          <t>-5853.33310985404</t>
        </is>
      </c>
      <c r="H27" s="1" t="inlineStr">
        <is>
          <t>-507464.9042118907</t>
        </is>
      </c>
      <c r="I27" s="1" t="inlineStr">
        <is>
          <t>1456337.7536</t>
        </is>
      </c>
      <c r="J27" s="1" t="inlineStr">
        <is>
          <t>2315477.7536</t>
        </is>
      </c>
      <c r="K27" s="1" t="inlineStr">
        <is>
          <t>182492.3262027397</t>
        </is>
      </c>
      <c r="L27" s="1" t="inlineStr">
        <is>
          <t>192402.04127123283</t>
        </is>
      </c>
      <c r="M27" s="1" t="inlineStr">
        <is>
          <t>Sensitivity assumption; not a final policy setting.</t>
        </is>
      </c>
      <c r="N27" s="1" t="inlineStr">
        <is>
          <t>No reversal in generated outputs; magnitude changes only.</t>
        </is>
      </c>
    </row>
    <row r="28">
      <c r="A28" s="1" t="inlineStr">
        <is>
          <t>apy_paper_prevent_igra_3hp</t>
        </is>
      </c>
      <c r="B28" s="1" t="inlineStr">
        <is>
          <t>prevent</t>
        </is>
      </c>
      <c r="C28" s="1" t="inlineStr">
        <is>
          <t>lower_tb_case_fatality</t>
        </is>
      </c>
      <c r="D28" s="1" t="inlineStr">
        <is>
          <t>12.0</t>
        </is>
      </c>
      <c r="E28" s="1" t="inlineStr">
        <is>
          <t>10.878</t>
        </is>
      </c>
      <c r="F28" s="1" t="inlineStr">
        <is>
          <t>0.3303238356164379</t>
        </is>
      </c>
      <c r="G28" s="1" t="inlineStr">
        <is>
          <t>-15409.7953300239</t>
        </is>
      </c>
      <c r="H28" s="1" t="inlineStr">
        <is>
          <t>-507464.9042118907</t>
        </is>
      </c>
      <c r="I28" s="1" t="inlineStr">
        <is>
          <t>657137.7535999999</t>
        </is>
      </c>
      <c r="J28" s="1" t="inlineStr">
        <is>
          <t>983477.7535999999</t>
        </is>
      </c>
      <c r="K28" s="1" t="inlineStr">
        <is>
          <t>182492.3262027397</t>
        </is>
      </c>
      <c r="L28" s="1" t="inlineStr">
        <is>
          <t>192402.04127123283</t>
        </is>
      </c>
      <c r="M28" s="1" t="inlineStr">
        <is>
          <t>Sensitivity assumption; not a final policy setting.</t>
        </is>
      </c>
      <c r="N28" s="1" t="inlineStr">
        <is>
          <t>No reversal in generated outputs; magnitude changes only.</t>
        </is>
      </c>
    </row>
    <row r="29">
      <c r="A29" s="1" t="inlineStr">
        <is>
          <t>apy_paper_prevent_igra_3hp</t>
        </is>
      </c>
      <c r="B29" s="1" t="inlineStr">
        <is>
          <t>prevent</t>
        </is>
      </c>
      <c r="C29" s="1" t="inlineStr">
        <is>
          <t>higher_tb_case_fatality</t>
        </is>
      </c>
      <c r="D29" s="1" t="inlineStr">
        <is>
          <t>12.0</t>
        </is>
      </c>
      <c r="E29" s="1" t="inlineStr">
        <is>
          <t>28.638</t>
        </is>
      </c>
      <c r="F29" s="1" t="inlineStr">
        <is>
          <t>0.3303238356164379</t>
        </is>
      </c>
      <c r="G29" s="1" t="inlineStr">
        <is>
          <t>-5853.333109854039</t>
        </is>
      </c>
      <c r="H29" s="1" t="inlineStr">
        <is>
          <t>-507464.9042118907</t>
        </is>
      </c>
      <c r="I29" s="1" t="inlineStr">
        <is>
          <t>1456337.7536</t>
        </is>
      </c>
      <c r="J29" s="1" t="inlineStr">
        <is>
          <t>2315477.7536</t>
        </is>
      </c>
      <c r="K29" s="1" t="inlineStr">
        <is>
          <t>182492.3262027397</t>
        </is>
      </c>
      <c r="L29" s="1" t="inlineStr">
        <is>
          <t>192402.04127123283</t>
        </is>
      </c>
      <c r="M29" s="1" t="inlineStr">
        <is>
          <t>Sensitivity assumption; not a final policy setting.</t>
        </is>
      </c>
      <c r="N29" s="1" t="inlineStr">
        <is>
          <t>No reversal in generated outputs; magnitude changes only.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0" customWidth="1" min="2" max="2"/>
    <col width="27" customWidth="1" min="3" max="3"/>
    <col width="26" customWidth="1" min="4" max="4"/>
    <col width="33" customWidth="1" min="5" max="5"/>
    <col width="22" customWidth="1" min="6" max="6"/>
    <col width="42" customWidth="1" min="7" max="7"/>
    <col width="42" customWidth="1" min="8" max="8"/>
    <col width="42" customWidth="1" min="9" max="9"/>
  </cols>
  <sheetData>
    <row r="1">
      <c r="A1" s="2" t="inlineStr">
        <is>
          <t>Strategy</t>
        </is>
      </c>
      <c r="B1" s="2" t="inlineStr">
        <is>
          <t>Cost per DALY</t>
        </is>
      </c>
      <c r="C1" s="2" t="inlineStr">
        <is>
          <t>Cost per QALY</t>
        </is>
      </c>
      <c r="D1" s="2" t="inlineStr">
        <is>
          <t>Net cost</t>
        </is>
      </c>
      <c r="E1" s="2" t="inlineStr">
        <is>
          <t>DALYs averted</t>
        </is>
      </c>
      <c r="F1" s="2" t="inlineStr">
        <is>
          <t>QALYs gained</t>
        </is>
      </c>
      <c r="G1" s="2" t="inlineStr">
        <is>
          <t>Active TB cases prevented</t>
        </is>
      </c>
      <c r="H1" s="2" t="n"/>
      <c r="I1" s="2" t="n"/>
    </row>
    <row r="2">
      <c r="A2" s="1" t="inlineStr">
        <is>
          <t>Random</t>
        </is>
      </c>
      <c r="B2" s="1" t="n">
        <v>-3030.089523231095</v>
      </c>
      <c r="C2" s="1" t="n">
        <v>-181241.8673580598</v>
      </c>
      <c r="D2" s="1" t="n">
        <v>-19956.16959999999</v>
      </c>
      <c r="E2" s="1" t="n">
        <v>6.586</v>
      </c>
      <c r="F2" s="1" t="n">
        <v>0.1101079452054793</v>
      </c>
      <c r="G2" s="1" t="n">
        <v>4</v>
      </c>
      <c r="H2" s="1" t="n"/>
      <c r="I2" s="1" t="n"/>
    </row>
    <row r="3">
      <c r="A3" s="1" t="inlineStr">
        <is>
          <t>LTBI-targeted</t>
        </is>
      </c>
      <c r="B3" s="1" t="n">
        <v>-8156.177986362254</v>
      </c>
      <c r="C3" s="1" t="n">
        <v>-487890.9609188834</v>
      </c>
      <c r="D3" s="1" t="n">
        <v>-147720.6176</v>
      </c>
      <c r="E3" s="1" t="n">
        <v>18.1115</v>
      </c>
      <c r="F3" s="1" t="n">
        <v>0.3027738356164379</v>
      </c>
      <c r="G3" s="1" t="n">
        <v>11</v>
      </c>
      <c r="H3" s="1" t="n"/>
      <c r="I3" s="1" t="n"/>
    </row>
    <row r="4">
      <c r="A4" s="1" t="inlineStr">
        <is>
          <t>Cure-targeted</t>
        </is>
      </c>
      <c r="B4" s="1" t="n">
        <v>-8156.177986362254</v>
      </c>
      <c r="C4" s="1" t="n">
        <v>-487890.9609188834</v>
      </c>
      <c r="D4" s="1" t="n">
        <v>-147720.6176</v>
      </c>
      <c r="E4" s="1" t="n">
        <v>18.1115</v>
      </c>
      <c r="F4" s="1" t="n">
        <v>0.3027738356164379</v>
      </c>
      <c r="G4" s="1" t="n">
        <v>11</v>
      </c>
      <c r="H4" s="1" t="n"/>
      <c r="I4" s="1" t="n"/>
    </row>
    <row r="5">
      <c r="A5" s="1" t="inlineStr">
        <is>
          <t>Prevention-targeted</t>
        </is>
      </c>
      <c r="B5" s="1" t="n">
        <v>-8484.0446199008</v>
      </c>
      <c r="C5" s="1" t="n">
        <v>-507464.9042118907</v>
      </c>
      <c r="D5" s="1" t="n">
        <v>-167627.7536</v>
      </c>
      <c r="E5" s="1" t="n">
        <v>19.758</v>
      </c>
      <c r="F5" s="1" t="n">
        <v>0.3303238356164379</v>
      </c>
      <c r="G5" s="1" t="n">
        <v>12</v>
      </c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1" t="inlineStr">
        <is>
          <t>Prevention-targeted sensitivity</t>
        </is>
      </c>
      <c r="B8" s="1" t="n"/>
      <c r="C8" s="1" t="n"/>
      <c r="D8" s="1" t="n"/>
      <c r="E8" s="1" t="n"/>
      <c r="F8" s="1" t="n"/>
      <c r="G8" s="1" t="n"/>
      <c r="H8" s="1" t="n"/>
      <c r="I8" s="1" t="n"/>
    </row>
    <row r="9">
      <c r="A9" s="1" t="inlineStr">
        <is>
          <t>Sensitivity</t>
        </is>
      </c>
      <c r="B9" s="1" t="inlineStr">
        <is>
          <t>Cost per DALY</t>
        </is>
      </c>
      <c r="C9" s="1" t="inlineStr">
        <is>
          <t>Cost per QALY</t>
        </is>
      </c>
      <c r="D9" s="1" t="inlineStr">
        <is>
          <t>DALYs averted</t>
        </is>
      </c>
      <c r="E9" s="1" t="inlineStr">
        <is>
          <t>QALYs gained</t>
        </is>
      </c>
      <c r="F9" s="1" t="n"/>
      <c r="G9" s="1" t="n"/>
      <c r="H9" s="1" t="n"/>
      <c r="I9" s="1" t="n"/>
    </row>
    <row r="10">
      <c r="A10" s="1" t="inlineStr">
        <is>
          <t>no_ltbi_treatment_utility_decrement</t>
        </is>
      </c>
      <c r="B10" s="1" t="n">
        <v>-8484.0446199008</v>
      </c>
      <c r="C10" s="1" t="n">
        <v>-507464.9042118907</v>
      </c>
      <c r="D10" s="1" t="n">
        <v>19.758</v>
      </c>
      <c r="E10" s="1" t="n">
        <v>0.3303238356164379</v>
      </c>
      <c r="F10" s="1" t="n"/>
      <c r="G10" s="1" t="n"/>
      <c r="H10" s="1" t="n"/>
      <c r="I10" s="1" t="n"/>
    </row>
    <row r="11">
      <c r="A11" s="1" t="inlineStr">
        <is>
          <t>ltbi_treatment_decrement_0_0133</t>
        </is>
      </c>
      <c r="B11" s="1" t="n">
        <v>-8484.0446199008</v>
      </c>
      <c r="C11" s="1" t="n">
        <v>-1349944.235577835</v>
      </c>
      <c r="D11" s="1" t="n">
        <v>19.758</v>
      </c>
      <c r="E11" s="1" t="n">
        <v>0.1241738356164379</v>
      </c>
      <c r="F11" s="1" t="n"/>
      <c r="G11" s="1" t="n"/>
      <c r="H11" s="1" t="n"/>
      <c r="I11" s="1" t="n"/>
    </row>
    <row r="12">
      <c r="A12" s="1" t="inlineStr">
        <is>
          <t>yld_only_no_yll</t>
        </is>
      </c>
      <c r="B12" s="1" t="n">
        <v>-83897.77457457456</v>
      </c>
      <c r="C12" s="1" t="n">
        <v>-507464.9042118907</v>
      </c>
      <c r="D12" s="1" t="n">
        <v>1.998</v>
      </c>
      <c r="E12" s="1" t="n">
        <v>0.3303238356164379</v>
      </c>
      <c r="F12" s="1" t="n"/>
      <c r="G12" s="1" t="n"/>
      <c r="H12" s="1" t="n"/>
      <c r="I12" s="1" t="n"/>
    </row>
    <row r="13">
      <c r="A13" s="1" t="inlineStr">
        <is>
          <t>conservative_yll_10</t>
        </is>
      </c>
      <c r="B13" s="1" t="n">
        <v>-15409.7953300239</v>
      </c>
      <c r="C13" s="1" t="n">
        <v>-507464.9042118907</v>
      </c>
      <c r="D13" s="1" t="n">
        <v>10.878</v>
      </c>
      <c r="E13" s="1" t="n">
        <v>0.3303238356164379</v>
      </c>
      <c r="F13" s="1" t="n"/>
      <c r="G13" s="1" t="n"/>
      <c r="H13" s="1" t="n"/>
      <c r="I13" s="1" t="n"/>
    </row>
    <row r="14">
      <c r="A14" s="1" t="inlineStr">
        <is>
          <t>higher_yll_30</t>
        </is>
      </c>
      <c r="B14" s="1" t="n">
        <v>-5853.33310985404</v>
      </c>
      <c r="C14" s="1" t="n">
        <v>-507464.9042118907</v>
      </c>
      <c r="D14" s="1" t="n">
        <v>28.638</v>
      </c>
      <c r="E14" s="1" t="n">
        <v>0.3303238356164379</v>
      </c>
      <c r="F14" s="1" t="n"/>
      <c r="G14" s="1" t="n"/>
      <c r="H14" s="1" t="n"/>
      <c r="I14" s="1" t="n"/>
    </row>
    <row r="15">
      <c r="A15" s="1" t="inlineStr">
        <is>
          <t>lower_tb_case_fatality</t>
        </is>
      </c>
      <c r="B15" s="1" t="n">
        <v>-15409.7953300239</v>
      </c>
      <c r="C15" s="1" t="n">
        <v>-507464.9042118907</v>
      </c>
      <c r="D15" s="1" t="n">
        <v>10.878</v>
      </c>
      <c r="E15" s="1" t="n">
        <v>0.3303238356164379</v>
      </c>
      <c r="F15" s="1" t="n"/>
      <c r="G15" s="1" t="n"/>
      <c r="H15" s="1" t="n"/>
      <c r="I15" s="1" t="n"/>
    </row>
    <row r="16">
      <c r="A16" s="1" t="inlineStr">
        <is>
          <t>higher_tb_case_fatality</t>
        </is>
      </c>
      <c r="B16" s="1" t="n">
        <v>-5853.333109854039</v>
      </c>
      <c r="C16" s="1" t="n">
        <v>-507464.9042118907</v>
      </c>
      <c r="D16" s="1" t="n">
        <v>28.638</v>
      </c>
      <c r="E16" s="1" t="n">
        <v>0.3303238356164379</v>
      </c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>
      <c r="A19" s="1" t="inlineStr">
        <is>
          <t>Cost-saving break-even data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inlineStr">
        <is>
          <t>scenario_id</t>
        </is>
      </c>
      <c r="B20" s="1" t="inlineStr">
        <is>
          <t>screeningStrategy</t>
        </is>
      </c>
      <c r="C20" s="1" t="inlineStr">
        <is>
          <t>active_tb_cases_prevented</t>
        </is>
      </c>
      <c r="D20" s="1" t="inlineStr">
        <is>
          <t>tb_disease_costs_averted</t>
        </is>
      </c>
      <c r="E20" s="1" t="inlineStr">
        <is>
          <t>current_included_programme_cost</t>
        </is>
      </c>
      <c r="F20" s="1" t="inlineStr">
        <is>
          <t>net_cost_vs_baseline</t>
        </is>
      </c>
      <c r="G20" s="1" t="inlineStr">
        <is>
          <t>additional_programme_cost_before_no_longer_cost_saving</t>
        </is>
      </c>
      <c r="H20" s="1" t="inlineStr">
        <is>
          <t>additional_cost_per_screened_person_before_no_longer_cost_saving</t>
        </is>
      </c>
      <c r="I20" s="1" t="inlineStr">
        <is>
          <t>additional_cost_per_tpt_start_before_no_longer_cost_saving</t>
        </is>
      </c>
    </row>
    <row r="21">
      <c r="A21" s="1" t="inlineStr">
        <is>
          <t>apy_paper_random_igra_3hp</t>
        </is>
      </c>
      <c r="B21" s="1" t="inlineStr">
        <is>
          <t>random</t>
        </is>
      </c>
      <c r="C21" s="1" t="n">
        <v>4</v>
      </c>
      <c r="D21" s="1" t="n">
        <v>76318.39999999999</v>
      </c>
      <c r="E21" s="1" t="n">
        <v>56362.2304</v>
      </c>
      <c r="F21" s="1" t="n">
        <v>-19956.16959999999</v>
      </c>
      <c r="G21" s="1" t="n">
        <v>19956.16959999999</v>
      </c>
      <c r="H21" s="1" t="n">
        <v>44.34704355555554</v>
      </c>
      <c r="I21" s="1" t="n">
        <v>623.6302999999998</v>
      </c>
    </row>
    <row r="22">
      <c r="A22" s="1" t="inlineStr">
        <is>
          <t>apy_paper_ltbi_igra_3hp</t>
        </is>
      </c>
      <c r="B22" s="1" t="inlineStr">
        <is>
          <t>ltbi</t>
        </is>
      </c>
      <c r="C22" s="1" t="n">
        <v>11</v>
      </c>
      <c r="D22" s="1" t="n">
        <v>209875.6</v>
      </c>
      <c r="E22" s="1" t="n">
        <v>62154.9824</v>
      </c>
      <c r="F22" s="1" t="n">
        <v>-147720.6176</v>
      </c>
      <c r="G22" s="1" t="n">
        <v>147720.6176</v>
      </c>
      <c r="H22" s="1" t="n">
        <v>328.268039111111</v>
      </c>
      <c r="I22" s="1" t="n">
        <v>2204.785337313433</v>
      </c>
    </row>
    <row r="23">
      <c r="A23" s="1" t="inlineStr">
        <is>
          <t>apy_paper_cure_igra_3hp</t>
        </is>
      </c>
      <c r="B23" s="1" t="inlineStr">
        <is>
          <t>cure</t>
        </is>
      </c>
      <c r="C23" s="1" t="n">
        <v>11</v>
      </c>
      <c r="D23" s="1" t="n">
        <v>209875.6</v>
      </c>
      <c r="E23" s="1" t="n">
        <v>62154.9824</v>
      </c>
      <c r="F23" s="1" t="n">
        <v>-147720.6176</v>
      </c>
      <c r="G23" s="1" t="n">
        <v>147720.6176</v>
      </c>
      <c r="H23" s="1" t="n">
        <v>328.268039111111</v>
      </c>
      <c r="I23" s="1" t="n">
        <v>2204.785337313433</v>
      </c>
    </row>
    <row r="24">
      <c r="A24" s="1" t="inlineStr">
        <is>
          <t>apy_paper_prevent_igra_3hp</t>
        </is>
      </c>
      <c r="B24" s="1" t="inlineStr">
        <is>
          <t>prevent</t>
        </is>
      </c>
      <c r="C24" s="1" t="n">
        <v>12</v>
      </c>
      <c r="D24" s="1" t="n">
        <v>228955.2</v>
      </c>
      <c r="E24" s="1" t="n">
        <v>61327.4464</v>
      </c>
      <c r="F24" s="1" t="n">
        <v>-167627.7536</v>
      </c>
      <c r="G24" s="1" t="n">
        <v>167627.7536</v>
      </c>
      <c r="H24" s="1" t="n">
        <v>372.5061191111111</v>
      </c>
      <c r="I24" s="1" t="n">
        <v>2703.67344516129</v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inlineStr">
        <is>
          <t>Cost-outlay pathway totals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inlineStr">
        <is>
          <t>pathway</t>
        </is>
      </c>
      <c r="B28" s="1" t="inlineStr">
        <is>
          <t>current_total_cost</t>
        </is>
      </c>
      <c r="C28" s="1" t="n"/>
      <c r="D28" s="1" t="n"/>
      <c r="E28" s="1" t="n"/>
      <c r="F28" s="1" t="n"/>
      <c r="G28" s="1" t="n"/>
      <c r="H28" s="1" t="n"/>
      <c r="I28" s="1" t="n"/>
    </row>
    <row r="29">
      <c r="A29" s="1" t="inlineStr">
        <is>
          <t>screened negative</t>
        </is>
      </c>
      <c r="B29" s="1" t="n">
        <v>113.48</v>
      </c>
      <c r="C29" s="1" t="n"/>
      <c r="D29" s="1" t="n"/>
      <c r="E29" s="1" t="n"/>
      <c r="F29" s="1" t="n"/>
      <c r="G29" s="1" t="n"/>
      <c r="H29" s="1" t="n"/>
      <c r="I29" s="1" t="n"/>
    </row>
    <row r="30">
      <c r="A30" s="1" t="inlineStr">
        <is>
          <t>screened positive, does not start TPT</t>
        </is>
      </c>
      <c r="B30" s="1" t="n">
        <v>113.48</v>
      </c>
      <c r="C30" s="1" t="n"/>
      <c r="D30" s="1" t="n"/>
      <c r="E30" s="1" t="n"/>
      <c r="F30" s="1" t="n"/>
      <c r="G30" s="1" t="n"/>
      <c r="H30" s="1" t="n"/>
      <c r="I30" s="1" t="n"/>
    </row>
    <row r="31">
      <c r="A31" s="1" t="inlineStr">
        <is>
          <t>screened positive, starts 3HP</t>
        </is>
      </c>
      <c r="B31" s="1" t="n">
        <v>278.9872</v>
      </c>
      <c r="C31" s="1" t="n"/>
      <c r="D31" s="1" t="n"/>
      <c r="E31" s="1" t="n"/>
      <c r="F31" s="1" t="n"/>
      <c r="G31" s="1" t="n"/>
      <c r="H31" s="1" t="n"/>
      <c r="I31" s="1" t="n"/>
    </row>
    <row r="32">
      <c r="A32" s="1" t="inlineStr">
        <is>
          <t>false positive treated</t>
        </is>
      </c>
      <c r="B32" s="1" t="n">
        <v>278.9872</v>
      </c>
      <c r="C32" s="1" t="n"/>
      <c r="D32" s="1" t="n"/>
      <c r="E32" s="1" t="n"/>
      <c r="F32" s="1" t="n"/>
      <c r="G32" s="1" t="n"/>
      <c r="H32" s="1" t="n"/>
      <c r="I32" s="1" t="n"/>
    </row>
    <row r="33">
      <c r="A33" s="1" t="inlineStr">
        <is>
          <t>true LTBI positive treated</t>
        </is>
      </c>
      <c r="B33" s="1" t="n">
        <v>278.9872</v>
      </c>
      <c r="C33" s="1" t="n"/>
      <c r="D33" s="1" t="n"/>
      <c r="E33" s="1" t="n"/>
      <c r="F33" s="1" t="n"/>
      <c r="G33" s="1" t="n"/>
      <c r="H33" s="1" t="n"/>
      <c r="I33" s="1" t="n"/>
    </row>
    <row r="34">
      <c r="A34" s="1" t="inlineStr">
        <is>
          <t>average per person screened</t>
        </is>
      </c>
      <c r="B34" s="1" t="n">
        <v>134.4442453333333</v>
      </c>
      <c r="C34" s="1" t="n"/>
      <c r="D34" s="1" t="n"/>
      <c r="E34" s="1" t="n"/>
      <c r="F34" s="1" t="n"/>
      <c r="G34" s="1" t="n"/>
      <c r="H34" s="1" t="n"/>
      <c r="I34" s="1" t="n"/>
    </row>
    <row r="35">
      <c r="A35" s="1" t="inlineStr">
        <is>
          <t>average per TPT course started</t>
        </is>
      </c>
      <c r="B35" s="1" t="n">
        <v>1061.401936842105</v>
      </c>
      <c r="C35" s="1" t="n"/>
      <c r="D35" s="1" t="n"/>
      <c r="E35" s="1" t="n"/>
      <c r="F35" s="1" t="n"/>
      <c r="G35" s="1" t="n"/>
      <c r="H35" s="1" t="n"/>
      <c r="I35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Editable native Excel charts. Copy these into Word using Paste Special as Microsoft Excel Chart Object or Paste Link.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39" customWidth="1" min="1" max="1"/>
    <col width="41" customWidth="1" min="2" max="2"/>
    <col width="20" customWidth="1" min="3" max="3"/>
    <col width="22" customWidth="1" min="4" max="4"/>
    <col width="26" customWidth="1" min="5" max="5"/>
    <col width="29" customWidth="1" min="6" max="6"/>
    <col width="16" customWidth="1" min="7" max="7"/>
    <col width="33" customWidth="1" min="8" max="8"/>
    <col width="30" customWidth="1" min="9" max="9"/>
    <col width="20" customWidth="1" min="10" max="10"/>
    <col width="42" customWidth="1" min="11" max="11"/>
    <col width="42" customWidth="1" min="12" max="12"/>
  </cols>
  <sheetData>
    <row r="1">
      <c r="A1" s="2" t="inlineStr">
        <is>
          <t>pathway</t>
        </is>
      </c>
      <c r="B1" s="2" t="inlineStr">
        <is>
          <t>included_test_cost</t>
        </is>
      </c>
      <c r="C1" s="2" t="inlineStr">
        <is>
          <t>result_return_cost</t>
        </is>
      </c>
      <c r="D1" s="2" t="inlineStr">
        <is>
          <t>clinical_review_cost</t>
        </is>
      </c>
      <c r="E1" s="2" t="inlineStr">
        <is>
          <t>active_tb_exclusion_cost</t>
        </is>
      </c>
      <c r="F1" s="2" t="inlineStr">
        <is>
          <t>treatment_course_cost</t>
        </is>
      </c>
      <c r="G1" s="2" t="inlineStr">
        <is>
          <t>follow_up_cost</t>
        </is>
      </c>
      <c r="H1" s="2" t="inlineStr">
        <is>
          <t>false_positive_incremental_cost</t>
        </is>
      </c>
      <c r="I1" s="2" t="inlineStr">
        <is>
          <t>programme_overhead_allocated</t>
        </is>
      </c>
      <c r="J1" s="2" t="inlineStr">
        <is>
          <t>current_total_cost</t>
        </is>
      </c>
      <c r="K1" s="2" t="inlineStr">
        <is>
          <t>costs_currently_missing</t>
        </is>
      </c>
      <c r="L1" s="2" t="inlineStr">
        <is>
          <t>notes</t>
        </is>
      </c>
    </row>
    <row r="2">
      <c r="A2" s="3" t="inlineStr">
        <is>
          <t>screened negative</t>
        </is>
      </c>
      <c r="B2" s="3" t="n">
        <v>113.48</v>
      </c>
      <c r="C2" s="3" t="inlineStr"/>
      <c r="D2" s="3" t="inlineStr"/>
      <c r="E2" s="3" t="inlineStr"/>
      <c r="F2" s="3" t="n">
        <v>0</v>
      </c>
      <c r="G2" s="3" t="inlineStr"/>
      <c r="H2" s="3" t="n">
        <v>0</v>
      </c>
      <c r="I2" s="3" t="n">
        <v>0</v>
      </c>
      <c r="J2" s="3" t="n">
        <v>113.48</v>
      </c>
      <c r="K2" s="3" t="inlineStr">
        <is>
          <t>result return; clinic visit/clinical review; active TB exclusion/CXR/lab work; travel and outreach; staff time; follow-up support; programme setup/running</t>
        </is>
      </c>
      <c r="L2" s="3" t="inlineStr">
        <is>
          <t>Current included cost is the screening test only. Result return and delivery costs are unresolved.</t>
        </is>
      </c>
    </row>
    <row r="3">
      <c r="A3" s="3" t="inlineStr">
        <is>
          <t>screened positive, does not start TPT</t>
        </is>
      </c>
      <c r="B3" s="3" t="n">
        <v>113.48</v>
      </c>
      <c r="C3" s="3" t="inlineStr"/>
      <c r="D3" s="3" t="inlineStr"/>
      <c r="E3" s="3" t="inlineStr"/>
      <c r="F3" s="3" t="n">
        <v>0</v>
      </c>
      <c r="G3" s="3" t="inlineStr"/>
      <c r="H3" s="3" t="n">
        <v>0</v>
      </c>
      <c r="I3" s="3" t="n">
        <v>0</v>
      </c>
      <c r="J3" s="3" t="n">
        <v>113.48</v>
      </c>
      <c r="K3" s="3" t="inlineStr">
        <is>
          <t>result return; clinic visit/clinical review; active TB exclusion/CXR/lab work; travel and outreach; staff time; follow-up support; programme setup/running</t>
        </is>
      </c>
      <c r="L3" s="3" t="inlineStr">
        <is>
          <t>Positive-screen follow-up, clinical review, and active TB exclusion costs are not fully represented.</t>
        </is>
      </c>
    </row>
    <row r="4">
      <c r="A4" s="3" t="inlineStr">
        <is>
          <t>screened positive, starts 3HP</t>
        </is>
      </c>
      <c r="B4" s="3" t="n">
        <v>113.48</v>
      </c>
      <c r="C4" s="3" t="inlineStr"/>
      <c r="D4" s="3" t="inlineStr"/>
      <c r="E4" s="3" t="inlineStr"/>
      <c r="F4" s="3" t="n">
        <v>165.5072</v>
      </c>
      <c r="G4" s="3" t="inlineStr"/>
      <c r="H4" s="3" t="n">
        <v>0</v>
      </c>
      <c r="I4" s="3" t="n">
        <v>0</v>
      </c>
      <c r="J4" s="3" t="n">
        <v>278.9872</v>
      </c>
      <c r="K4" s="3" t="inlineStr">
        <is>
          <t>result return; clinic visit/clinical review; active TB exclusion/CXR/lab work; travel and outreach; staff time; follow-up support; programme setup/running</t>
        </is>
      </c>
      <c r="L4" s="3" t="inlineStr">
        <is>
          <t>Current included cost is test plus 3HP course. Follow-up, support, adherence, and delivery costs are unresolved.</t>
        </is>
      </c>
    </row>
    <row r="5">
      <c r="A5" s="3" t="inlineStr">
        <is>
          <t>false positive treated</t>
        </is>
      </c>
      <c r="B5" s="3" t="n">
        <v>113.48</v>
      </c>
      <c r="C5" s="3" t="inlineStr"/>
      <c r="D5" s="3" t="inlineStr"/>
      <c r="E5" s="3" t="inlineStr"/>
      <c r="F5" s="3" t="n">
        <v>165.5072</v>
      </c>
      <c r="G5" s="3" t="inlineStr"/>
      <c r="H5" s="3" t="n">
        <v>0</v>
      </c>
      <c r="I5" s="3" t="n">
        <v>0</v>
      </c>
      <c r="J5" s="3" t="n">
        <v>278.9872</v>
      </c>
      <c r="K5" s="3" t="inlineStr">
        <is>
          <t>result return; clinic visit/clinical review; active TB exclusion/CXR/lab work; travel and outreach; staff time; follow-up support; programme setup/running; false-positive incremental management cost</t>
        </is>
      </c>
      <c r="L5" s="3" t="inlineStr">
        <is>
          <t>False-positive incremental management cost is currently zero unless supplied separately.</t>
        </is>
      </c>
    </row>
    <row r="6">
      <c r="A6" s="3" t="inlineStr">
        <is>
          <t>true LTBI positive treated</t>
        </is>
      </c>
      <c r="B6" s="3" t="n">
        <v>113.48</v>
      </c>
      <c r="C6" s="3" t="inlineStr"/>
      <c r="D6" s="3" t="inlineStr"/>
      <c r="E6" s="3" t="inlineStr"/>
      <c r="F6" s="3" t="n">
        <v>165.5072</v>
      </c>
      <c r="G6" s="3" t="inlineStr"/>
      <c r="H6" s="3" t="n">
        <v>0</v>
      </c>
      <c r="I6" s="3" t="n">
        <v>0</v>
      </c>
      <c r="J6" s="3" t="n">
        <v>278.9872</v>
      </c>
      <c r="K6" s="3" t="inlineStr">
        <is>
          <t>result return; clinic visit/clinical review; active TB exclusion/CXR/lab work; travel and outreach; staff time; follow-up support; programme setup/running</t>
        </is>
      </c>
      <c r="L6" s="3" t="inlineStr">
        <is>
          <t>Current included cost is test plus 3HP course; care pathway and programme delivery costs remain unresolved.</t>
        </is>
      </c>
    </row>
    <row r="7">
      <c r="A7" s="3" t="inlineStr">
        <is>
          <t>average per person screened</t>
        </is>
      </c>
      <c r="B7" s="3" t="inlineStr">
        <is>
          <t>weighted across strategies</t>
        </is>
      </c>
      <c r="C7" s="3" t="inlineStr"/>
      <c r="D7" s="3" t="inlineStr"/>
      <c r="E7" s="3" t="inlineStr"/>
      <c r="F7" s="3" t="inlineStr">
        <is>
          <t>weighted by courses started</t>
        </is>
      </c>
      <c r="G7" s="3" t="inlineStr"/>
      <c r="H7" s="3" t="n">
        <v>0</v>
      </c>
      <c r="I7" s="3" t="n">
        <v>0</v>
      </c>
      <c r="J7" s="3" t="n">
        <v>134.4442453333333</v>
      </c>
      <c r="K7" s="3" t="inlineStr">
        <is>
          <t>result return; clinic visit/clinical review; active TB exclusion/CXR/lab work; travel and outreach; staff time; follow-up support; programme setup/running</t>
        </is>
      </c>
      <c r="L7" s="3" t="inlineStr">
        <is>
          <t>Weighted average from current strategy outputs: total included programme cost / total screened.</t>
        </is>
      </c>
    </row>
    <row r="8">
      <c r="A8" s="3" t="inlineStr">
        <is>
          <t>average per TPT course started</t>
        </is>
      </c>
      <c r="B8" s="3" t="inlineStr">
        <is>
          <t>screening costs allocated across starts</t>
        </is>
      </c>
      <c r="C8" s="3" t="inlineStr"/>
      <c r="D8" s="3" t="inlineStr"/>
      <c r="E8" s="3" t="inlineStr"/>
      <c r="F8" s="3" t="inlineStr">
        <is>
          <t>weighted by courses started</t>
        </is>
      </c>
      <c r="G8" s="3" t="inlineStr"/>
      <c r="H8" s="3" t="n">
        <v>0</v>
      </c>
      <c r="I8" s="3" t="n">
        <v>0</v>
      </c>
      <c r="J8" s="3" t="n">
        <v>1061.401936842105</v>
      </c>
      <c r="K8" s="3" t="inlineStr">
        <is>
          <t>result return; clinic visit/clinical review; active TB exclusion/CXR/lab work; travel and outreach; staff time; follow-up support; programme setup/running</t>
        </is>
      </c>
      <c r="L8" s="3" t="inlineStr">
        <is>
          <t>Weighted average from current strategy outputs: total included programme cost / total TPT starts.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7" customWidth="1" min="3" max="3"/>
    <col width="26" customWidth="1" min="4" max="4"/>
    <col width="33" customWidth="1" min="5" max="5"/>
    <col width="22" customWidth="1" min="6" max="6"/>
    <col width="42" customWidth="1" min="7" max="7"/>
    <col width="42" customWidth="1" min="8" max="8"/>
    <col width="42" customWidth="1" min="9" max="9"/>
  </cols>
  <sheetData>
    <row r="1">
      <c r="A1" s="2" t="inlineStr">
        <is>
          <t>scenario_id</t>
        </is>
      </c>
      <c r="B1" s="2" t="inlineStr">
        <is>
          <t>screeningStrategy</t>
        </is>
      </c>
      <c r="C1" s="2" t="inlineStr">
        <is>
          <t>active_tb_cases_prevented</t>
        </is>
      </c>
      <c r="D1" s="2" t="inlineStr">
        <is>
          <t>tb_disease_costs_averted</t>
        </is>
      </c>
      <c r="E1" s="2" t="inlineStr">
        <is>
          <t>current_included_programme_cost</t>
        </is>
      </c>
      <c r="F1" s="2" t="inlineStr">
        <is>
          <t>net_cost_vs_baseline</t>
        </is>
      </c>
      <c r="G1" s="2" t="inlineStr">
        <is>
          <t>additional_programme_cost_before_no_longer_cost_saving</t>
        </is>
      </c>
      <c r="H1" s="2" t="inlineStr">
        <is>
          <t>additional_cost_per_screened_person_before_no_longer_cost_saving</t>
        </is>
      </c>
      <c r="I1" s="2" t="inlineStr">
        <is>
          <t>additional_cost_per_tpt_start_before_no_longer_cost_saving</t>
        </is>
      </c>
    </row>
    <row r="2">
      <c r="A2" s="1" t="inlineStr">
        <is>
          <t>apy_paper_random_igra_3hp</t>
        </is>
      </c>
      <c r="B2" s="1" t="inlineStr">
        <is>
          <t>random</t>
        </is>
      </c>
      <c r="C2" s="1" t="n">
        <v>4</v>
      </c>
      <c r="D2" s="1" t="n">
        <v>76318.39999999999</v>
      </c>
      <c r="E2" s="1" t="n">
        <v>56362.2304</v>
      </c>
      <c r="F2" s="1" t="n">
        <v>-19956.16959999999</v>
      </c>
      <c r="G2" s="1" t="n">
        <v>19956.16959999999</v>
      </c>
      <c r="H2" s="1" t="n">
        <v>44.34704355555554</v>
      </c>
      <c r="I2" s="1" t="n">
        <v>623.6302999999998</v>
      </c>
    </row>
    <row r="3">
      <c r="A3" s="1" t="inlineStr">
        <is>
          <t>apy_paper_ltbi_igra_3hp</t>
        </is>
      </c>
      <c r="B3" s="1" t="inlineStr">
        <is>
          <t>ltbi</t>
        </is>
      </c>
      <c r="C3" s="1" t="n">
        <v>11</v>
      </c>
      <c r="D3" s="1" t="n">
        <v>209875.6</v>
      </c>
      <c r="E3" s="1" t="n">
        <v>62154.9824</v>
      </c>
      <c r="F3" s="1" t="n">
        <v>-147720.6176</v>
      </c>
      <c r="G3" s="1" t="n">
        <v>147720.6176</v>
      </c>
      <c r="H3" s="1" t="n">
        <v>328.268039111111</v>
      </c>
      <c r="I3" s="1" t="n">
        <v>2204.785337313433</v>
      </c>
    </row>
    <row r="4">
      <c r="A4" s="1" t="inlineStr">
        <is>
          <t>apy_paper_cure_igra_3hp</t>
        </is>
      </c>
      <c r="B4" s="1" t="inlineStr">
        <is>
          <t>cure</t>
        </is>
      </c>
      <c r="C4" s="1" t="n">
        <v>11</v>
      </c>
      <c r="D4" s="1" t="n">
        <v>209875.6</v>
      </c>
      <c r="E4" s="1" t="n">
        <v>62154.9824</v>
      </c>
      <c r="F4" s="1" t="n">
        <v>-147720.6176</v>
      </c>
      <c r="G4" s="1" t="n">
        <v>147720.6176</v>
      </c>
      <c r="H4" s="1" t="n">
        <v>328.268039111111</v>
      </c>
      <c r="I4" s="1" t="n">
        <v>2204.785337313433</v>
      </c>
    </row>
    <row r="5">
      <c r="A5" s="1" t="inlineStr">
        <is>
          <t>apy_paper_prevent_igra_3hp</t>
        </is>
      </c>
      <c r="B5" s="1" t="inlineStr">
        <is>
          <t>prevent</t>
        </is>
      </c>
      <c r="C5" s="1" t="n">
        <v>12</v>
      </c>
      <c r="D5" s="1" t="n">
        <v>228955.2</v>
      </c>
      <c r="E5" s="1" t="n">
        <v>61327.4464</v>
      </c>
      <c r="F5" s="1" t="n">
        <v>-167627.7536</v>
      </c>
      <c r="G5" s="1" t="n">
        <v>167627.7536</v>
      </c>
      <c r="H5" s="1" t="n">
        <v>372.5061191111111</v>
      </c>
      <c r="I5" s="1" t="n">
        <v>2703.67344516129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2026-06-01T06:28:48Z</dcterms:created>
  <dcterms:modified xmlns:dcterms="http://purl.org/dc/terms/" xmlns:xsi="http://www.w3.org/2001/XMLSchema-instance" xsi:type="dcterms:W3CDTF">2026-06-01T06:53:15Z</dcterms:modified>
</cp:coreProperties>
</file>