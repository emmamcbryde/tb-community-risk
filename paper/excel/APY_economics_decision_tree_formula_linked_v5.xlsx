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mas\Documents\GITHUB\tb-community-risk\paper\excel\"/>
    </mc:Choice>
  </mc:AlternateContent>
  <xr:revisionPtr revIDLastSave="0" documentId="13_ncr:1_{9820BEFC-4C1A-4D21-A0FF-DDE955ABE7DB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README" sheetId="1" r:id="rId1"/>
    <sheet name="Inputs_Assumptions" sheetId="2" r:id="rId2"/>
    <sheet name="Model_Outputs" sheetId="3" r:id="rId3"/>
    <sheet name="Economic_Calculations" sheetId="4" r:id="rId4"/>
    <sheet name="Strategy_Summary" sheetId="5" r:id="rId5"/>
    <sheet name="DALY_QALY_Source_Audit" sheetId="6" r:id="rId6"/>
    <sheet name="Sensitivity" sheetId="7" r:id="rId7"/>
    <sheet name="Mortality_Adjusted_QALY" sheetId="8" r:id="rId8"/>
    <sheet name="Chart_Data" sheetId="9" r:id="rId9"/>
    <sheet name="Editable_Charts" sheetId="10" r:id="rId10"/>
    <sheet name="Formula_Audit" sheetId="11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B2" i="11"/>
  <c r="A5" i="8"/>
  <c r="A4" i="8"/>
  <c r="A3" i="8"/>
  <c r="A2" i="8"/>
  <c r="A5" i="5"/>
  <c r="A5" i="9" s="1"/>
  <c r="B4" i="5"/>
  <c r="I4" i="9" s="1"/>
  <c r="A4" i="5"/>
  <c r="A4" i="9" s="1"/>
  <c r="A3" i="5"/>
  <c r="A3" i="9" s="1"/>
  <c r="A2" i="5"/>
  <c r="A2" i="9" s="1"/>
  <c r="AP5" i="4"/>
  <c r="W5" i="4"/>
  <c r="V5" i="4"/>
  <c r="R5" i="4"/>
  <c r="Q5" i="4"/>
  <c r="AE5" i="4" s="1"/>
  <c r="P5" i="4"/>
  <c r="AD5" i="4" s="1"/>
  <c r="O5" i="4"/>
  <c r="B5" i="8" s="1"/>
  <c r="N5" i="4"/>
  <c r="M5" i="4"/>
  <c r="AU5" i="4" s="1"/>
  <c r="G5" i="5" s="1"/>
  <c r="L5" i="4"/>
  <c r="U5" i="4" s="1"/>
  <c r="K5" i="4"/>
  <c r="J5" i="4"/>
  <c r="I5" i="4"/>
  <c r="H5" i="4"/>
  <c r="G5" i="4"/>
  <c r="F5" i="4"/>
  <c r="E5" i="4"/>
  <c r="D5" i="4"/>
  <c r="C5" i="4"/>
  <c r="B5" i="4"/>
  <c r="AP4" i="4"/>
  <c r="W4" i="4"/>
  <c r="V4" i="4"/>
  <c r="R4" i="4"/>
  <c r="Q4" i="4"/>
  <c r="AE4" i="4" s="1"/>
  <c r="P4" i="4"/>
  <c r="AD4" i="4" s="1"/>
  <c r="O4" i="4"/>
  <c r="AM4" i="4" s="1"/>
  <c r="N4" i="4"/>
  <c r="M4" i="4"/>
  <c r="AU4" i="4" s="1"/>
  <c r="G4" i="5" s="1"/>
  <c r="L4" i="4"/>
  <c r="U4" i="4" s="1"/>
  <c r="K4" i="4"/>
  <c r="J4" i="4"/>
  <c r="AT4" i="4" s="1"/>
  <c r="I4" i="4"/>
  <c r="AA4" i="4" s="1"/>
  <c r="H4" i="4"/>
  <c r="G4" i="4"/>
  <c r="F4" i="4"/>
  <c r="E4" i="4"/>
  <c r="D4" i="4"/>
  <c r="C4" i="4"/>
  <c r="B4" i="4"/>
  <c r="AP3" i="4"/>
  <c r="W3" i="4"/>
  <c r="V3" i="4"/>
  <c r="U3" i="4"/>
  <c r="R3" i="4"/>
  <c r="Q3" i="4"/>
  <c r="AE3" i="4" s="1"/>
  <c r="P3" i="4"/>
  <c r="AD3" i="4" s="1"/>
  <c r="O3" i="4"/>
  <c r="B3" i="5" s="1"/>
  <c r="I3" i="9" s="1"/>
  <c r="N3" i="4"/>
  <c r="M3" i="4"/>
  <c r="AU3" i="4" s="1"/>
  <c r="G3" i="5" s="1"/>
  <c r="L3" i="4"/>
  <c r="K3" i="4"/>
  <c r="J3" i="4"/>
  <c r="Z3" i="4" s="1"/>
  <c r="I3" i="4"/>
  <c r="X3" i="4" s="1"/>
  <c r="H3" i="4"/>
  <c r="G3" i="4"/>
  <c r="F3" i="4"/>
  <c r="E3" i="4"/>
  <c r="D3" i="4"/>
  <c r="C3" i="4"/>
  <c r="B3" i="4"/>
  <c r="AP2" i="4"/>
  <c r="W2" i="4"/>
  <c r="V2" i="4"/>
  <c r="R2" i="4"/>
  <c r="Q2" i="4"/>
  <c r="AE2" i="4" s="1"/>
  <c r="P2" i="4"/>
  <c r="AD2" i="4" s="1"/>
  <c r="O2" i="4"/>
  <c r="AC2" i="4" s="1"/>
  <c r="N2" i="4"/>
  <c r="M2" i="4"/>
  <c r="AU2" i="4" s="1"/>
  <c r="G2" i="5" s="1"/>
  <c r="L2" i="4"/>
  <c r="U2" i="4" s="1"/>
  <c r="K2" i="4"/>
  <c r="J2" i="4"/>
  <c r="Z2" i="4" s="1"/>
  <c r="I2" i="4"/>
  <c r="H2" i="4"/>
  <c r="G2" i="4"/>
  <c r="F2" i="4"/>
  <c r="E2" i="4"/>
  <c r="D2" i="4"/>
  <c r="C2" i="4"/>
  <c r="B2" i="4"/>
  <c r="S2" i="4" l="1"/>
  <c r="X2" i="4"/>
  <c r="AA2" i="4"/>
  <c r="S4" i="4"/>
  <c r="T4" i="4"/>
  <c r="AL2" i="4"/>
  <c r="AN2" i="4" s="1"/>
  <c r="X4" i="4"/>
  <c r="AQ2" i="4"/>
  <c r="C2" i="8" s="1"/>
  <c r="Y4" i="4"/>
  <c r="AC4" i="4"/>
  <c r="B4" i="8"/>
  <c r="AA3" i="4"/>
  <c r="S5" i="4"/>
  <c r="T5" i="4"/>
  <c r="AC5" i="4"/>
  <c r="AR4" i="4"/>
  <c r="D4" i="8" s="1"/>
  <c r="AS5" i="4"/>
  <c r="E5" i="8" s="1"/>
  <c r="S3" i="4"/>
  <c r="AS4" i="4"/>
  <c r="E4" i="8" s="1"/>
  <c r="AT5" i="4"/>
  <c r="T2" i="4"/>
  <c r="AR2" i="4"/>
  <c r="AC3" i="4"/>
  <c r="Z4" i="4"/>
  <c r="AL4" i="4"/>
  <c r="AM3" i="4"/>
  <c r="AS2" i="4"/>
  <c r="X5" i="4"/>
  <c r="B5" i="5"/>
  <c r="I5" i="9" s="1"/>
  <c r="B3" i="8"/>
  <c r="Y5" i="4"/>
  <c r="T3" i="4"/>
  <c r="AR3" i="4"/>
  <c r="Z5" i="4"/>
  <c r="AL5" i="4"/>
  <c r="B2" i="8"/>
  <c r="AT2" i="4"/>
  <c r="AS3" i="4"/>
  <c r="AA5" i="4"/>
  <c r="AM5" i="4"/>
  <c r="Y2" i="4"/>
  <c r="AT3" i="4"/>
  <c r="AM2" i="4"/>
  <c r="AO2" i="4" s="1"/>
  <c r="B2" i="5"/>
  <c r="I2" i="9" s="1"/>
  <c r="Y3" i="4"/>
  <c r="AL3" i="4"/>
  <c r="AR5" i="4"/>
  <c r="AB4" i="4" l="1"/>
  <c r="AI4" i="4" s="1"/>
  <c r="AB3" i="4"/>
  <c r="AB2" i="4"/>
  <c r="BI2" i="4" s="1"/>
  <c r="AV4" i="4"/>
  <c r="E4" i="5" s="1"/>
  <c r="C4" i="9" s="1"/>
  <c r="AB5" i="4"/>
  <c r="AI5" i="4" s="1"/>
  <c r="AH4" i="4"/>
  <c r="AG4" i="4"/>
  <c r="AF4" i="4"/>
  <c r="BI4" i="4"/>
  <c r="AF5" i="4"/>
  <c r="BI5" i="4"/>
  <c r="AH2" i="4"/>
  <c r="AQ3" i="4"/>
  <c r="C3" i="8" s="1"/>
  <c r="AN3" i="4"/>
  <c r="AO3" i="4" s="1"/>
  <c r="AV3" i="4"/>
  <c r="D3" i="8"/>
  <c r="AW2" i="4"/>
  <c r="D2" i="8"/>
  <c r="AV2" i="4"/>
  <c r="H2" i="8"/>
  <c r="D2" i="5"/>
  <c r="B2" i="9" s="1"/>
  <c r="E2" i="8"/>
  <c r="AX2" i="4"/>
  <c r="H2" i="5" s="1"/>
  <c r="F2" i="9" s="1"/>
  <c r="AX3" i="4"/>
  <c r="H3" i="5" s="1"/>
  <c r="F3" i="9" s="1"/>
  <c r="E3" i="8"/>
  <c r="BI3" i="4"/>
  <c r="AI3" i="4"/>
  <c r="AH3" i="4"/>
  <c r="AG3" i="4"/>
  <c r="AF3" i="4"/>
  <c r="AV5" i="4"/>
  <c r="D5" i="8"/>
  <c r="AQ5" i="4"/>
  <c r="AW5" i="4" s="1"/>
  <c r="AN5" i="4"/>
  <c r="AO5" i="4" s="1"/>
  <c r="AQ4" i="4"/>
  <c r="AN4" i="4"/>
  <c r="AO4" i="4" s="1"/>
  <c r="BE4" i="4" l="1"/>
  <c r="K4" i="5" s="1"/>
  <c r="AW3" i="4"/>
  <c r="F4" i="8"/>
  <c r="AF2" i="4"/>
  <c r="AZ2" i="4" s="1"/>
  <c r="H2" i="9" s="1"/>
  <c r="BF4" i="4"/>
  <c r="L4" i="5" s="1"/>
  <c r="AG2" i="4"/>
  <c r="AI2" i="4"/>
  <c r="AG5" i="4"/>
  <c r="AH5" i="4"/>
  <c r="AY4" i="4"/>
  <c r="I4" i="5" s="1"/>
  <c r="G4" i="9" s="1"/>
  <c r="F5" i="5"/>
  <c r="D5" i="9" s="1"/>
  <c r="G5" i="8"/>
  <c r="BH5" i="4"/>
  <c r="BG5" i="4"/>
  <c r="BD5" i="4"/>
  <c r="BC5" i="4"/>
  <c r="H5" i="8"/>
  <c r="D5" i="5"/>
  <c r="B5" i="9" s="1"/>
  <c r="G2" i="8"/>
  <c r="J2" i="8" s="1"/>
  <c r="BH2" i="4"/>
  <c r="BG2" i="4"/>
  <c r="F2" i="5"/>
  <c r="D2" i="9" s="1"/>
  <c r="BF3" i="4"/>
  <c r="L3" i="5" s="1"/>
  <c r="AY3" i="4"/>
  <c r="I3" i="5" s="1"/>
  <c r="G3" i="9" s="1"/>
  <c r="F3" i="8"/>
  <c r="BE3" i="4"/>
  <c r="K3" i="5" s="1"/>
  <c r="E3" i="5"/>
  <c r="C3" i="9" s="1"/>
  <c r="BH3" i="4"/>
  <c r="G3" i="8"/>
  <c r="BG3" i="4"/>
  <c r="F3" i="5"/>
  <c r="D3" i="9" s="1"/>
  <c r="BB5" i="4"/>
  <c r="BA5" i="4"/>
  <c r="AZ5" i="4"/>
  <c r="H5" i="9" s="1"/>
  <c r="BJ5" i="4"/>
  <c r="C5" i="5"/>
  <c r="E5" i="9" s="1"/>
  <c r="AK5" i="4"/>
  <c r="J5" i="5" s="1"/>
  <c r="AJ5" i="4"/>
  <c r="H3" i="8"/>
  <c r="BD3" i="4"/>
  <c r="BC3" i="4"/>
  <c r="D3" i="5"/>
  <c r="B3" i="9" s="1"/>
  <c r="AJ4" i="4"/>
  <c r="BA4" i="4"/>
  <c r="AZ4" i="4"/>
  <c r="H4" i="9" s="1"/>
  <c r="C4" i="5"/>
  <c r="E4" i="9" s="1"/>
  <c r="BJ4" i="4"/>
  <c r="AK4" i="4"/>
  <c r="J4" i="5" s="1"/>
  <c r="AJ2" i="4"/>
  <c r="C5" i="8"/>
  <c r="AX5" i="4"/>
  <c r="H5" i="5" s="1"/>
  <c r="F5" i="9" s="1"/>
  <c r="F2" i="8"/>
  <c r="I2" i="8" s="1"/>
  <c r="AY2" i="4"/>
  <c r="I2" i="5" s="1"/>
  <c r="G2" i="9" s="1"/>
  <c r="BF2" i="4"/>
  <c r="L2" i="5" s="1"/>
  <c r="E2" i="5"/>
  <c r="C2" i="9" s="1"/>
  <c r="BE5" i="4"/>
  <c r="K5" i="5" s="1"/>
  <c r="E5" i="5"/>
  <c r="C5" i="9" s="1"/>
  <c r="AY5" i="4"/>
  <c r="I5" i="5" s="1"/>
  <c r="G5" i="9" s="1"/>
  <c r="F5" i="8"/>
  <c r="BF5" i="4"/>
  <c r="L5" i="5" s="1"/>
  <c r="BJ3" i="4"/>
  <c r="AK3" i="4"/>
  <c r="J3" i="5" s="1"/>
  <c r="C3" i="5"/>
  <c r="E3" i="9" s="1"/>
  <c r="AJ3" i="4"/>
  <c r="BB3" i="4"/>
  <c r="BA3" i="4"/>
  <c r="AZ3" i="4"/>
  <c r="H3" i="9" s="1"/>
  <c r="BC2" i="4"/>
  <c r="BD4" i="4"/>
  <c r="BC4" i="4"/>
  <c r="H4" i="8"/>
  <c r="D4" i="5"/>
  <c r="B4" i="9" s="1"/>
  <c r="C4" i="8"/>
  <c r="AW4" i="4"/>
  <c r="BB4" i="4" s="1"/>
  <c r="AX4" i="4"/>
  <c r="H4" i="5" s="1"/>
  <c r="F4" i="9" s="1"/>
  <c r="BB2" i="4" l="1"/>
  <c r="AK2" i="4"/>
  <c r="J2" i="5" s="1"/>
  <c r="BJ2" i="4"/>
  <c r="C2" i="5"/>
  <c r="E2" i="9" s="1"/>
  <c r="BD2" i="4"/>
  <c r="BE2" i="4"/>
  <c r="K2" i="5" s="1"/>
  <c r="BA2" i="4"/>
  <c r="BL2" i="4"/>
  <c r="BK2" i="4"/>
  <c r="N2" i="5" s="1"/>
  <c r="M2" i="5"/>
  <c r="J2" i="9" s="1"/>
  <c r="I4" i="8"/>
  <c r="J3" i="8"/>
  <c r="I3" i="8"/>
  <c r="BG4" i="4"/>
  <c r="G4" i="8"/>
  <c r="J4" i="8" s="1"/>
  <c r="F4" i="5"/>
  <c r="D4" i="9" s="1"/>
  <c r="BH4" i="4"/>
  <c r="BL4" i="4"/>
  <c r="BK4" i="4"/>
  <c r="N4" i="5" s="1"/>
  <c r="M4" i="5"/>
  <c r="J4" i="9" s="1"/>
  <c r="J5" i="8"/>
  <c r="I5" i="8"/>
  <c r="M3" i="5"/>
  <c r="J3" i="9" s="1"/>
  <c r="BK3" i="4"/>
  <c r="N3" i="5" s="1"/>
  <c r="BL3" i="4"/>
  <c r="BL5" i="4"/>
  <c r="BK5" i="4"/>
  <c r="N5" i="5" s="1"/>
  <c r="M5" i="5"/>
  <c r="J5" i="9" s="1"/>
</calcChain>
</file>

<file path=xl/sharedStrings.xml><?xml version="1.0" encoding="utf-8"?>
<sst xmlns="http://schemas.openxmlformats.org/spreadsheetml/2006/main" count="1060" uniqueCount="228">
  <si>
    <t>APY economics workbook v5</t>
  </si>
  <si>
    <t>Mortality-adjusted QALY update for APY paper/report economics.</t>
  </si>
  <si>
    <t>Primary QALY output</t>
  </si>
  <si>
    <t>Dale-compatible mortality-adjusted QALYs: Dale/Bauer active TB morbidity utility decrement plus mortality QALYs.</t>
  </si>
  <si>
    <t>GBD sensitivity</t>
  </si>
  <si>
    <t>GBD-aligned mortality-adjusted QALYs use active TB disability weight for morbidity plus the same mortality QALYs.</t>
  </si>
  <si>
    <t>Excel recalculation</t>
  </si>
  <si>
    <t>Open in Excel and allow formulas/charts to recalculate.</t>
  </si>
  <si>
    <t>Model outputs</t>
  </si>
  <si>
    <t>Imported static APY outputs; rerun APY to change epidemiological/model outputs.</t>
  </si>
  <si>
    <t>Input</t>
  </si>
  <si>
    <t>Value</t>
  </si>
  <si>
    <t>Units/source</t>
  </si>
  <si>
    <t>Status</t>
  </si>
  <si>
    <t>Notes</t>
  </si>
  <si>
    <t>IGRA cost</t>
  </si>
  <si>
    <t>AUD 2019</t>
  </si>
  <si>
    <t>editable</t>
  </si>
  <si>
    <t>TST cost</t>
  </si>
  <si>
    <t>3HP cost</t>
  </si>
  <si>
    <t>4R cost</t>
  </si>
  <si>
    <t>active TB disease cost per case</t>
  </si>
  <si>
    <t>programme setup cost</t>
  </si>
  <si>
    <t>AUD total</t>
  </si>
  <si>
    <t>UNRESOLVED</t>
  </si>
  <si>
    <t>programme running cost</t>
  </si>
  <si>
    <t>false-positive incremental cost</t>
  </si>
  <si>
    <t>AUD/person</t>
  </si>
  <si>
    <t>return-for-results cost</t>
  </si>
  <si>
    <t>AUD/person screened</t>
  </si>
  <si>
    <t>clinic review cost</t>
  </si>
  <si>
    <t>AUD/TPT start</t>
  </si>
  <si>
    <t>active TB exclusion / CXR / lab cost</t>
  </si>
  <si>
    <t>travel / outreach / staff support cost per screened person</t>
  </si>
  <si>
    <t>active TB disability weight</t>
  </si>
  <si>
    <t>DALY/GBD QALY morbidity</t>
  </si>
  <si>
    <t>active TB duration</t>
  </si>
  <si>
    <t>years</t>
  </si>
  <si>
    <t>TB case fatality risk</t>
  </si>
  <si>
    <t>probability</t>
  </si>
  <si>
    <t>YLL per TB death</t>
  </si>
  <si>
    <t>healthy/LTBI utility</t>
  </si>
  <si>
    <t>QALY</t>
  </si>
  <si>
    <t>active TB utility</t>
  </si>
  <si>
    <t>SAE utility</t>
  </si>
  <si>
    <t>SAE duration</t>
  </si>
  <si>
    <t>LTBI treatment utility decrement</t>
  </si>
  <si>
    <t>QALY decrement</t>
  </si>
  <si>
    <t>includeMortalityInQaly</t>
  </si>
  <si>
    <t>boolean</t>
  </si>
  <si>
    <t>Primary QALYs include mortality when TRUE.</t>
  </si>
  <si>
    <t>qualityAdjustedLifeExpectancyPerTBDeath</t>
  </si>
  <si>
    <t>QALYs per TB death</t>
  </si>
  <si>
    <t>If blank, calculated as YLL per TB death x healthy utility.</t>
  </si>
  <si>
    <t>qalyActiveTbDurationYears</t>
  </si>
  <si>
    <t>WTP threshold low</t>
  </si>
  <si>
    <t>AUD</t>
  </si>
  <si>
    <t>WTP threshold high</t>
  </si>
  <si>
    <t>Strategy_Summary</t>
  </si>
  <si>
    <t>Imported APY model outputs. To change them, rerun APY and refresh this sheet.</t>
  </si>
  <si>
    <t>scenario_id</t>
  </si>
  <si>
    <t>screeningStrategy</t>
  </si>
  <si>
    <t>testType</t>
  </si>
  <si>
    <t>regimen</t>
  </si>
  <si>
    <t>N</t>
  </si>
  <si>
    <t>nReps</t>
  </si>
  <si>
    <t>screenCoverage</t>
  </si>
  <si>
    <t>screenWindow</t>
  </si>
  <si>
    <t>followHorizon</t>
  </si>
  <si>
    <t>nScreened_median</t>
  </si>
  <si>
    <t>nTotalCoursesStarted_median</t>
  </si>
  <si>
    <t>nTotalCoursesCompleted_median</t>
  </si>
  <si>
    <t>nFalsePositiveTreated_median</t>
  </si>
  <si>
    <t>nADRstop_median</t>
  </si>
  <si>
    <t>nCuredInfection_median</t>
  </si>
  <si>
    <t>nPreventedActiveTB_median</t>
  </si>
  <si>
    <t>nActiveBy20y_DoNothing_median</t>
  </si>
  <si>
    <t>nActiveBy20y_AfterStrategy_median</t>
  </si>
  <si>
    <t>relativeReduction20y_median</t>
  </si>
  <si>
    <t>testingCost</t>
  </si>
  <si>
    <t>treatmentCost</t>
  </si>
  <si>
    <t>tbDiseaseCostsAverted</t>
  </si>
  <si>
    <t>totalProgramCost</t>
  </si>
  <si>
    <t>netCostVsBaseline</t>
  </si>
  <si>
    <t>tbCasesPrevented</t>
  </si>
  <si>
    <t>tbDeathsPrevented</t>
  </si>
  <si>
    <t>yldAverted</t>
  </si>
  <si>
    <t>yllAverted</t>
  </si>
  <si>
    <t>dalysAverted</t>
  </si>
  <si>
    <t>morbidityOnlyQalysGained</t>
  </si>
  <si>
    <t>mortalityQalysGained</t>
  </si>
  <si>
    <t>activeTbMorbidityQalysGained_Dale</t>
  </si>
  <si>
    <t>activeTbMorbidityQalysGained_GBD</t>
  </si>
  <si>
    <t>qalysGained_DaleMortalityAdjusted</t>
  </si>
  <si>
    <t>qalysGained_GBDAlignedMortalityAdjusted</t>
  </si>
  <si>
    <t>qalysGained</t>
  </si>
  <si>
    <t>costPerTBCasePrevented</t>
  </si>
  <si>
    <t>costPerDALYAverted</t>
  </si>
  <si>
    <t>costPerQALYGained</t>
  </si>
  <si>
    <t>costPerQALYGained_GBDAligned</t>
  </si>
  <si>
    <t>nmbDALY_45000</t>
  </si>
  <si>
    <t>nmbDALY_75000</t>
  </si>
  <si>
    <t>nmbQALY_45000</t>
  </si>
  <si>
    <t>nmbQALY_75000</t>
  </si>
  <si>
    <t>nmbQALY_GBDAligned_45000</t>
  </si>
  <si>
    <t>nmbQALY_GBDAligned_75000</t>
  </si>
  <si>
    <t>dominance_status</t>
  </si>
  <si>
    <t>notes</t>
  </si>
  <si>
    <t>apy_paper_random_igra_3hp</t>
  </si>
  <si>
    <t>random</t>
  </si>
  <si>
    <t>IGRA</t>
  </si>
  <si>
    <t>3HP</t>
  </si>
  <si>
    <t>dominant_cost_saving</t>
  </si>
  <si>
    <t>Direct person-level prevented cases; no downstream transmission effects.</t>
  </si>
  <si>
    <t>apy_paper_ltbi_igra_3hp</t>
  </si>
  <si>
    <t>ltbi</t>
  </si>
  <si>
    <t>apy_paper_cure_igra_3hp</t>
  </si>
  <si>
    <t>cure</t>
  </si>
  <si>
    <t>apy_paper_prevent_igra_3hp</t>
  </si>
  <si>
    <t>prevent</t>
  </si>
  <si>
    <t>Health_Outcomes</t>
  </si>
  <si>
    <t>section</t>
  </si>
  <si>
    <t>metric</t>
  </si>
  <si>
    <t>value</t>
  </si>
  <si>
    <t>health</t>
  </si>
  <si>
    <t>qalyLossActiveTBAverted</t>
  </si>
  <si>
    <t>qalyLossTreatment</t>
  </si>
  <si>
    <t>qalyLossSAE</t>
  </si>
  <si>
    <t>treatmentDecrementQalyLoss</t>
  </si>
  <si>
    <t>saeQalyLoss</t>
  </si>
  <si>
    <t>Costs</t>
  </si>
  <si>
    <t>costs</t>
  </si>
  <si>
    <t>falsePositiveIncrementalCost</t>
  </si>
  <si>
    <t>programSetupCost</t>
  </si>
  <si>
    <t>programRunningCost</t>
  </si>
  <si>
    <t>baselineTBDiseaseCost</t>
  </si>
  <si>
    <t>interventionTBDiseaseCost</t>
  </si>
  <si>
    <t>Sensitivity</t>
  </si>
  <si>
    <t>sensitivity</t>
  </si>
  <si>
    <t>no_ltbi_treatment_utility_decrement</t>
  </si>
  <si>
    <t>Sensitivity assumption; not a final policy setting.</t>
  </si>
  <si>
    <t>ltbi_treatment_decrement_0_0133</t>
  </si>
  <si>
    <t>yld_only_no_yll</t>
  </si>
  <si>
    <t>conservative_yll_10</t>
  </si>
  <si>
    <t>higher_yll_30</t>
  </si>
  <si>
    <t>lower_tb_case_fatality</t>
  </si>
  <si>
    <t>higher_tb_case_fatality</t>
  </si>
  <si>
    <t>DALY_QALY_Source_Audit</t>
  </si>
  <si>
    <t>dale_bauer_morbidity_qaly_per_tb_case</t>
  </si>
  <si>
    <t>gbd_aligned_morbidity_qaly_per_tb_case</t>
  </si>
  <si>
    <t>yld_per_tb_case</t>
  </si>
  <si>
    <t>yll_per_tb_case</t>
  </si>
  <si>
    <t>mortality_qalys_per_tb_case</t>
  </si>
  <si>
    <t>total_DaleMortalityAdjusted_QALYs</t>
  </si>
  <si>
    <t>total_GBDAlignedMortalityAdjusted_QALYs</t>
  </si>
  <si>
    <t>total_DALYs</t>
  </si>
  <si>
    <t>daly_to_morbidity_only_qaly_ratio</t>
  </si>
  <si>
    <t>daly_to_dale_mortality_adjusted_qaly_ratio</t>
  </si>
  <si>
    <t>daly_to_gbd_aligned_qaly_ratio</t>
  </si>
  <si>
    <t>Strategy</t>
  </si>
  <si>
    <t>nScreened</t>
  </si>
  <si>
    <t>nTotalCoursesStarted</t>
  </si>
  <si>
    <t>nTotalCoursesCompleted</t>
  </si>
  <si>
    <t>nFalsePositiveTreated</t>
  </si>
  <si>
    <t>nADRstop</t>
  </si>
  <si>
    <t>nCuredInfection</t>
  </si>
  <si>
    <t>nPreventedActiveTB</t>
  </si>
  <si>
    <t>nActiveBy20y_DoNothing</t>
  </si>
  <si>
    <t>nActiveBy20y_AfterStrategy</t>
  </si>
  <si>
    <t>relativeReduction20y</t>
  </si>
  <si>
    <t>programmeSetupCost</t>
  </si>
  <si>
    <t>programmeRunningCost</t>
  </si>
  <si>
    <t>returnForResultsCost</t>
  </si>
  <si>
    <t>clinicReviewCost</t>
  </si>
  <si>
    <t>activeTBExclusionCost</t>
  </si>
  <si>
    <t>travelOutreachSupportCost</t>
  </si>
  <si>
    <t>costPerPersonScreened</t>
  </si>
  <si>
    <t>costPerTPTCourseStarted</t>
  </si>
  <si>
    <t>costPerTPTCourseCompleted</t>
  </si>
  <si>
    <t>costPerInfectionCured</t>
  </si>
  <si>
    <t>breakEvenTBCasesPrevented</t>
  </si>
  <si>
    <t>additionalCostMarginBeforeNotCostSaving</t>
  </si>
  <si>
    <t>additionalCostPerScreenedBeforeNotCostSaving</t>
  </si>
  <si>
    <t>additionalCostPerTPTStartBeforeNotCostSaving</t>
  </si>
  <si>
    <t>Random</t>
  </si>
  <si>
    <t>LTBI-targeted</t>
  </si>
  <si>
    <t>Cure-targeted</t>
  </si>
  <si>
    <t>Prevention-targeted</t>
  </si>
  <si>
    <t>TB cases prevented</t>
  </si>
  <si>
    <t>Net cost vs baseline</t>
  </si>
  <si>
    <t>DALYs averted</t>
  </si>
  <si>
    <t>QALYs gained (Dale mortality-adjusted)</t>
  </si>
  <si>
    <t>GBD-aligned QALYs</t>
  </si>
  <si>
    <t>Morbidity-only QALYs</t>
  </si>
  <si>
    <t>Cost per DALY averted</t>
  </si>
  <si>
    <t>Cost per QALY gained</t>
  </si>
  <si>
    <t>Cost per active TB case prevented</t>
  </si>
  <si>
    <t>NMB at AUD 45,000/QALY</t>
  </si>
  <si>
    <t>NMB at AUD 75,000/QALY</t>
  </si>
  <si>
    <t>Additional cost margin before not cost-saving</t>
  </si>
  <si>
    <t>Additional cost per screened person before not cost-saving</t>
  </si>
  <si>
    <t>Mortality QALYs gained</t>
  </si>
  <si>
    <t>Dale morbidity QALYs</t>
  </si>
  <si>
    <t>GBD morbidity QALYs</t>
  </si>
  <si>
    <t>Dale mortality-adjusted QALYs</t>
  </si>
  <si>
    <t>GBD-aligned mortality-adjusted QALYs</t>
  </si>
  <si>
    <t>DALYs</t>
  </si>
  <si>
    <t>DALY / Dale QALY</t>
  </si>
  <si>
    <t>DALY / GBD QALY</t>
  </si>
  <si>
    <t>Cost per DALY</t>
  </si>
  <si>
    <t>Cost per QALY</t>
  </si>
  <si>
    <t>Cost per GBD-aligned QALY</t>
  </si>
  <si>
    <t>Additional cost margin</t>
  </si>
  <si>
    <t>Editable native Excel charts. Primary QALY charts use Dale-compatible mortality-adjusted QALYs.</t>
  </si>
  <si>
    <t>Audit item</t>
  </si>
  <si>
    <t>Check/source</t>
  </si>
  <si>
    <t>Strategy_Summary formula linked</t>
  </si>
  <si>
    <t>TRUE expected</t>
  </si>
  <si>
    <t>Chart_Data formula linked</t>
  </si>
  <si>
    <t>Primary QALY includes mortality</t>
  </si>
  <si>
    <t>Economic_Calculations!AV: qalysGained_DaleMortalityAdjusted</t>
  </si>
  <si>
    <t>Primary QALY charts use this field</t>
  </si>
  <si>
    <t>GBD sensitivity present</t>
  </si>
  <si>
    <t>Economic_Calculations!AW and DALY_QALY_Source_Audit</t>
  </si>
  <si>
    <t>GBD-aligned morbidity sensitivity</t>
  </si>
  <si>
    <t>Model outputs requiring rerun</t>
  </si>
  <si>
    <t>screening, prevalence, treatment pathway, cases prevented</t>
  </si>
  <si>
    <t>Excel does not recreate stochastic ABM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</si>
</sst>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Net cost per DALY averted by strategy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Chart_Data!$F$1</c:f>
              <c:strCache>
                <c:ptCount val="1"/>
                <c:pt idx="0">
                  <c:v>Cost per DALY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Chart_Data!$F$2:$F$5</c:f>
              <c:numCache>
                <c:formatCode>General</c:formatCode>
                <c:ptCount val="4"/>
                <c:pt idx="0">
                  <c:v>5.8358439452054798</c:v>
                </c:pt>
                <c:pt idx="1">
                  <c:v>16.048547835616439</c:v>
                </c:pt>
                <c:pt idx="2">
                  <c:v>16.048547835616439</c:v>
                </c:pt>
                <c:pt idx="3">
                  <c:v>17.50753183561644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8-4C1D-9469-AD60FE50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AUD per DALY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Net cost per QALY gained by strategy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Chart_Data!$G$1</c:f>
              <c:strCache>
                <c:ptCount val="1"/>
                <c:pt idx="0">
                  <c:v>Cost per QALY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Chart_Data!$G$2:$G$5</c:f>
              <c:numCache>
                <c:formatCode>General</c:formatCode>
                <c:ptCount val="4"/>
                <c:pt idx="0">
                  <c:v>0.11010794520547931</c:v>
                </c:pt>
                <c:pt idx="1">
                  <c:v>0.30277383561643795</c:v>
                </c:pt>
                <c:pt idx="2">
                  <c:v>0.30277383561643795</c:v>
                </c:pt>
                <c:pt idx="3">
                  <c:v>0.33032383561643791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1-4AA0-B2CF-F48CDC553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AUD per QALY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Net cost versus DALYs averted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ln>
                <a:prstDash val="solid"/>
              </a:ln>
            </c:spPr>
          </c:marker>
          <c:xVal>
            <c:numRef>
              <c:f>Chart_Data!$B$2</c:f>
              <c:numCache>
                <c:formatCode>General</c:formatCode>
                <c:ptCount val="1"/>
                <c:pt idx="0">
                  <c:v>6.5860000000000003</c:v>
                </c:pt>
              </c:numCache>
            </c:numRef>
          </c:xVal>
          <c:yVal>
            <c:numRef>
              <c:f>Chart_Data!$E$2</c:f>
              <c:numCache>
                <c:formatCode>General</c:formatCode>
                <c:ptCount val="1"/>
                <c:pt idx="0">
                  <c:v>12143.830400000006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9-4271-ABDE-8A792EC88A8B}"/>
            </c:ext>
          </c:extLst>
        </c:ser>
        <c:ser>
          <c:idx val="1"/>
          <c:order val="1"/>
          <c:tx>
            <c:v>LTBI-targeted</c:v>
          </c:tx>
          <c:spPr>
            <a:ln>
              <a:noFill/>
              <a:prstDash val="solid"/>
            </a:ln>
          </c:spPr>
          <c:marker>
            <c:symbol val="diamond"/>
            <c:size val="8"/>
            <c:spPr>
              <a:ln>
                <a:prstDash val="solid"/>
              </a:ln>
            </c:spPr>
          </c:marker>
          <c:xVal>
            <c:numRef>
              <c:f>Chart_Data!$B$3</c:f>
              <c:numCache>
                <c:formatCode>General</c:formatCode>
                <c:ptCount val="1"/>
                <c:pt idx="0">
                  <c:v>18.111499999999999</c:v>
                </c:pt>
              </c:numCache>
            </c:numRef>
          </c:xVal>
          <c:yVal>
            <c:numRef>
              <c:f>Chart_Data!$E$3</c:f>
              <c:numCache>
                <c:formatCode>General</c:formatCode>
                <c:ptCount val="1"/>
                <c:pt idx="0">
                  <c:v>-105120.61759999997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49-4271-ABDE-8A792EC88A8B}"/>
            </c:ext>
          </c:extLst>
        </c:ser>
        <c:ser>
          <c:idx val="2"/>
          <c:order val="2"/>
          <c:tx>
            <c:v>Cure-targeted</c:v>
          </c:tx>
          <c:spPr>
            <a:ln>
              <a:noFill/>
              <a:prstDash val="solid"/>
            </a:ln>
          </c:spPr>
          <c:marker>
            <c:symbol val="triangle"/>
            <c:size val="8"/>
            <c:spPr>
              <a:ln>
                <a:prstDash val="solid"/>
              </a:ln>
            </c:spPr>
          </c:marker>
          <c:xVal>
            <c:numRef>
              <c:f>Chart_Data!$B$4</c:f>
              <c:numCache>
                <c:formatCode>General</c:formatCode>
                <c:ptCount val="1"/>
                <c:pt idx="0">
                  <c:v>18.111499999999999</c:v>
                </c:pt>
              </c:numCache>
            </c:numRef>
          </c:xVal>
          <c:yVal>
            <c:numRef>
              <c:f>Chart_Data!$E$4</c:f>
              <c:numCache>
                <c:formatCode>General</c:formatCode>
                <c:ptCount val="1"/>
                <c:pt idx="0">
                  <c:v>-105120.61759999997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49-4271-ABDE-8A792EC88A8B}"/>
            </c:ext>
          </c:extLst>
        </c:ser>
        <c:ser>
          <c:idx val="3"/>
          <c:order val="3"/>
          <c:tx>
            <c:v>Prevention-targeted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ln>
                <a:prstDash val="solid"/>
              </a:ln>
            </c:spPr>
          </c:marker>
          <c:xVal>
            <c:numRef>
              <c:f>Chart_Data!$B$5</c:f>
              <c:numCache>
                <c:formatCode>General</c:formatCode>
                <c:ptCount val="1"/>
                <c:pt idx="0">
                  <c:v>19.757999999999999</c:v>
                </c:pt>
              </c:numCache>
            </c:numRef>
          </c:xVal>
          <c:yVal>
            <c:numRef>
              <c:f>Chart_Data!$E$5</c:f>
              <c:numCache>
                <c:formatCode>General</c:formatCode>
                <c:ptCount val="1"/>
                <c:pt idx="0">
                  <c:v>-126527.75359999998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49-4271-ABDE-8A792EC88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DALYs averted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Net cost vs baseline (AUD)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Net cost versus Dale mortality-adjusted QALYs gained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ln>
                <a:prstDash val="solid"/>
              </a:ln>
            </c:spPr>
          </c:marker>
          <c:xVal>
            <c:numRef>
              <c:f>Chart_Data!$C$2</c:f>
              <c:numCache>
                <c:formatCode>General</c:formatCode>
                <c:ptCount val="1"/>
                <c:pt idx="0">
                  <c:v>0.11010794520547931</c:v>
                </c:pt>
              </c:numCache>
            </c:numRef>
          </c:xVal>
          <c:yVal>
            <c:numRef>
              <c:f>Chart_Data!$E$2</c:f>
              <c:numCache>
                <c:formatCode>General</c:formatCode>
                <c:ptCount val="1"/>
                <c:pt idx="0">
                  <c:v>12143.830400000006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B-42AE-8ED7-076761711DB6}"/>
            </c:ext>
          </c:extLst>
        </c:ser>
        <c:ser>
          <c:idx val="1"/>
          <c:order val="1"/>
          <c:tx>
            <c:v>LTBI-targeted</c:v>
          </c:tx>
          <c:spPr>
            <a:ln>
              <a:noFill/>
              <a:prstDash val="solid"/>
            </a:ln>
          </c:spPr>
          <c:marker>
            <c:symbol val="diamond"/>
            <c:size val="8"/>
            <c:spPr>
              <a:ln>
                <a:prstDash val="solid"/>
              </a:ln>
            </c:spPr>
          </c:marker>
          <c:xVal>
            <c:numRef>
              <c:f>Chart_Data!$C$3</c:f>
              <c:numCache>
                <c:formatCode>General</c:formatCode>
                <c:ptCount val="1"/>
                <c:pt idx="0">
                  <c:v>0.30277383561643795</c:v>
                </c:pt>
              </c:numCache>
            </c:numRef>
          </c:xVal>
          <c:yVal>
            <c:numRef>
              <c:f>Chart_Data!$E$3</c:f>
              <c:numCache>
                <c:formatCode>General</c:formatCode>
                <c:ptCount val="1"/>
                <c:pt idx="0">
                  <c:v>-105120.61759999997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9B-42AE-8ED7-076761711DB6}"/>
            </c:ext>
          </c:extLst>
        </c:ser>
        <c:ser>
          <c:idx val="2"/>
          <c:order val="2"/>
          <c:tx>
            <c:v>Cure-targeted</c:v>
          </c:tx>
          <c:spPr>
            <a:ln>
              <a:noFill/>
              <a:prstDash val="solid"/>
            </a:ln>
          </c:spPr>
          <c:marker>
            <c:symbol val="triangle"/>
            <c:size val="8"/>
            <c:spPr>
              <a:ln>
                <a:prstDash val="solid"/>
              </a:ln>
            </c:spPr>
          </c:marker>
          <c:xVal>
            <c:numRef>
              <c:f>Chart_Data!$C$4</c:f>
              <c:numCache>
                <c:formatCode>General</c:formatCode>
                <c:ptCount val="1"/>
                <c:pt idx="0">
                  <c:v>0.30277383561643795</c:v>
                </c:pt>
              </c:numCache>
            </c:numRef>
          </c:xVal>
          <c:yVal>
            <c:numRef>
              <c:f>Chart_Data!$E$4</c:f>
              <c:numCache>
                <c:formatCode>General</c:formatCode>
                <c:ptCount val="1"/>
                <c:pt idx="0">
                  <c:v>-105120.61759999997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9B-42AE-8ED7-076761711DB6}"/>
            </c:ext>
          </c:extLst>
        </c:ser>
        <c:ser>
          <c:idx val="3"/>
          <c:order val="3"/>
          <c:tx>
            <c:v>Prevention-targeted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ln>
                <a:prstDash val="solid"/>
              </a:ln>
            </c:spPr>
          </c:marker>
          <c:xVal>
            <c:numRef>
              <c:f>Chart_Data!$C$5</c:f>
              <c:numCache>
                <c:formatCode>General</c:formatCode>
                <c:ptCount val="1"/>
                <c:pt idx="0">
                  <c:v>0.33032383561643791</c:v>
                </c:pt>
              </c:numCache>
            </c:numRef>
          </c:xVal>
          <c:yVal>
            <c:numRef>
              <c:f>Chart_Data!$E$5</c:f>
              <c:numCache>
                <c:formatCode>General</c:formatCode>
                <c:ptCount val="1"/>
                <c:pt idx="0">
                  <c:v>-126527.75359999998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9B-42AE-8ED7-076761711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QALYs gained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Net cost vs baseline (AUD)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Active TB cases prevented by strategy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Chart_Data!$I$1</c:f>
              <c:strCache>
                <c:ptCount val="1"/>
                <c:pt idx="0">
                  <c:v>TB cases prevented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Chart_Data!$I$2:$I$5</c:f>
              <c:numCache>
                <c:formatCode>General</c:formatCode>
                <c:ptCount val="4"/>
                <c:pt idx="0">
                  <c:v>4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0-4C42-9260-A7F7BF7BB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Cases prevented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Break-even cost-saving margin by strategy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Chart_Data!$J$1</c:f>
              <c:strCache>
                <c:ptCount val="1"/>
                <c:pt idx="0">
                  <c:v>Additional cost margin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Chart_Data!$J$2:$J$5</c:f>
              <c:numCache>
                <c:formatCode>General</c:formatCode>
                <c:ptCount val="4"/>
                <c:pt idx="0">
                  <c:v>0</c:v>
                </c:pt>
                <c:pt idx="1">
                  <c:v>105120.61759999997</c:v>
                </c:pt>
                <c:pt idx="2">
                  <c:v>105120.61759999997</c:v>
                </c:pt>
                <c:pt idx="3">
                  <c:v>126527.75359999998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4-4A2B-8E00-13D99E58A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Additional cost margin (AUD)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37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44" customWidth="1"/>
  </cols>
  <sheetData>
    <row r="1" spans="1:2" ht="29" x14ac:dyDescent="0.35">
      <c r="A1" s="1" t="s">
        <v>0</v>
      </c>
      <c r="B1" s="1" t="s">
        <v>1</v>
      </c>
    </row>
    <row r="2" spans="1:2" ht="43.5" x14ac:dyDescent="0.35">
      <c r="A2" s="1" t="s">
        <v>2</v>
      </c>
      <c r="B2" s="1" t="s">
        <v>3</v>
      </c>
    </row>
    <row r="3" spans="1:2" ht="43.5" x14ac:dyDescent="0.35">
      <c r="A3" s="1" t="s">
        <v>4</v>
      </c>
      <c r="B3" s="1" t="s">
        <v>5</v>
      </c>
    </row>
    <row r="4" spans="1:2" ht="29" x14ac:dyDescent="0.35">
      <c r="A4" s="1" t="s">
        <v>6</v>
      </c>
      <c r="B4" s="1" t="s">
        <v>7</v>
      </c>
    </row>
    <row r="5" spans="1:2" ht="29" x14ac:dyDescent="0.35">
      <c r="A5" s="1" t="s">
        <v>8</v>
      </c>
      <c r="B5" s="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pane ySplit="1" topLeftCell="A2" activePane="bottomLeft" state="frozen"/>
      <selection pane="bottomLeft" activeCell="B14" sqref="B14"/>
    </sheetView>
  </sheetViews>
  <sheetFormatPr defaultRowHeight="14.5" x14ac:dyDescent="0.35"/>
  <cols>
    <col min="1" max="1" width="44" customWidth="1"/>
    <col min="2" max="2" width="22" customWidth="1"/>
    <col min="3" max="3" width="25" customWidth="1"/>
    <col min="4" max="4" width="14" customWidth="1"/>
    <col min="5" max="5" width="44" customWidth="1"/>
  </cols>
  <sheetData>
    <row r="1" spans="1:5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x14ac:dyDescent="0.35">
      <c r="A2" s="1" t="s">
        <v>15</v>
      </c>
      <c r="B2" s="1">
        <v>113.48</v>
      </c>
      <c r="C2" s="1" t="s">
        <v>16</v>
      </c>
      <c r="D2" s="1" t="s">
        <v>17</v>
      </c>
      <c r="E2" s="1"/>
    </row>
    <row r="3" spans="1:5" x14ac:dyDescent="0.35">
      <c r="A3" s="1" t="s">
        <v>18</v>
      </c>
      <c r="B3" s="1">
        <v>116.07</v>
      </c>
      <c r="C3" s="1" t="s">
        <v>16</v>
      </c>
      <c r="D3" s="1" t="s">
        <v>17</v>
      </c>
      <c r="E3" s="1"/>
    </row>
    <row r="4" spans="1:5" x14ac:dyDescent="0.35">
      <c r="A4" s="1" t="s">
        <v>19</v>
      </c>
      <c r="B4" s="1">
        <v>165.50720000000001</v>
      </c>
      <c r="C4" s="1" t="s">
        <v>16</v>
      </c>
      <c r="D4" s="1" t="s">
        <v>17</v>
      </c>
      <c r="E4" s="1"/>
    </row>
    <row r="5" spans="1:5" x14ac:dyDescent="0.35">
      <c r="A5" s="1" t="s">
        <v>20</v>
      </c>
      <c r="B5" s="1">
        <v>123.3172</v>
      </c>
      <c r="C5" s="1" t="s">
        <v>16</v>
      </c>
      <c r="D5" s="1" t="s">
        <v>17</v>
      </c>
      <c r="E5" s="1"/>
    </row>
    <row r="6" spans="1:5" x14ac:dyDescent="0.35">
      <c r="A6" s="1" t="s">
        <v>21</v>
      </c>
      <c r="B6" s="1">
        <v>19079.599999999999</v>
      </c>
      <c r="C6" s="1" t="s">
        <v>16</v>
      </c>
      <c r="D6" s="1" t="s">
        <v>17</v>
      </c>
      <c r="E6" s="1"/>
    </row>
    <row r="7" spans="1:5" x14ac:dyDescent="0.35">
      <c r="A7" s="3" t="s">
        <v>22</v>
      </c>
      <c r="B7" s="3">
        <v>0</v>
      </c>
      <c r="C7" s="3" t="s">
        <v>23</v>
      </c>
      <c r="D7" s="3" t="s">
        <v>24</v>
      </c>
      <c r="E7" s="3"/>
    </row>
    <row r="8" spans="1:5" x14ac:dyDescent="0.35">
      <c r="A8" s="3" t="s">
        <v>25</v>
      </c>
      <c r="B8" s="3">
        <v>0</v>
      </c>
      <c r="C8" s="3" t="s">
        <v>23</v>
      </c>
      <c r="D8" s="3" t="s">
        <v>24</v>
      </c>
      <c r="E8" s="3"/>
    </row>
    <row r="9" spans="1:5" x14ac:dyDescent="0.35">
      <c r="A9" s="3" t="s">
        <v>26</v>
      </c>
      <c r="B9" s="3">
        <v>0</v>
      </c>
      <c r="C9" s="3" t="s">
        <v>27</v>
      </c>
      <c r="D9" s="3" t="s">
        <v>24</v>
      </c>
      <c r="E9" s="3"/>
    </row>
    <row r="10" spans="1:5" x14ac:dyDescent="0.35">
      <c r="A10" s="3" t="s">
        <v>28</v>
      </c>
      <c r="B10" s="3">
        <v>0</v>
      </c>
      <c r="C10" s="3" t="s">
        <v>29</v>
      </c>
      <c r="D10" s="3" t="s">
        <v>24</v>
      </c>
      <c r="E10" s="3"/>
    </row>
    <row r="11" spans="1:5" x14ac:dyDescent="0.35">
      <c r="A11" s="3" t="s">
        <v>30</v>
      </c>
      <c r="B11" s="3">
        <v>50</v>
      </c>
      <c r="C11" s="3" t="s">
        <v>31</v>
      </c>
      <c r="D11" s="3" t="s">
        <v>24</v>
      </c>
      <c r="E11" s="3"/>
    </row>
    <row r="12" spans="1:5" x14ac:dyDescent="0.35">
      <c r="A12" s="3" t="s">
        <v>32</v>
      </c>
      <c r="B12" s="3">
        <v>250</v>
      </c>
      <c r="C12" s="3" t="s">
        <v>31</v>
      </c>
      <c r="D12" s="3" t="s">
        <v>24</v>
      </c>
      <c r="E12" s="3"/>
    </row>
    <row r="13" spans="1:5" ht="29" x14ac:dyDescent="0.35">
      <c r="A13" s="3" t="s">
        <v>33</v>
      </c>
      <c r="B13" s="3">
        <v>50</v>
      </c>
      <c r="C13" s="3" t="s">
        <v>29</v>
      </c>
      <c r="D13" s="3" t="s">
        <v>24</v>
      </c>
      <c r="E13" s="3"/>
    </row>
    <row r="14" spans="1:5" x14ac:dyDescent="0.35">
      <c r="A14" s="1" t="s">
        <v>34</v>
      </c>
      <c r="B14" s="1">
        <v>0.33300000000000002</v>
      </c>
      <c r="C14" s="1" t="s">
        <v>35</v>
      </c>
      <c r="D14" s="1" t="s">
        <v>17</v>
      </c>
      <c r="E14" s="1"/>
    </row>
    <row r="15" spans="1:5" x14ac:dyDescent="0.35">
      <c r="A15" s="1" t="s">
        <v>36</v>
      </c>
      <c r="B15" s="1">
        <v>0.5</v>
      </c>
      <c r="C15" s="1" t="s">
        <v>37</v>
      </c>
      <c r="D15" s="1" t="s">
        <v>17</v>
      </c>
      <c r="E15" s="1"/>
    </row>
    <row r="16" spans="1:5" x14ac:dyDescent="0.35">
      <c r="A16" s="3" t="s">
        <v>38</v>
      </c>
      <c r="B16" s="3">
        <v>7.3999999999999996E-2</v>
      </c>
      <c r="C16" s="3" t="s">
        <v>39</v>
      </c>
      <c r="D16" s="3" t="s">
        <v>24</v>
      </c>
      <c r="E16" s="3"/>
    </row>
    <row r="17" spans="1:5" x14ac:dyDescent="0.35">
      <c r="A17" s="3" t="s">
        <v>40</v>
      </c>
      <c r="B17" s="3">
        <v>20</v>
      </c>
      <c r="C17" s="3" t="s">
        <v>37</v>
      </c>
      <c r="D17" s="3" t="s">
        <v>24</v>
      </c>
      <c r="E17" s="3"/>
    </row>
    <row r="18" spans="1:5" x14ac:dyDescent="0.35">
      <c r="A18" s="1" t="s">
        <v>41</v>
      </c>
      <c r="B18" s="1">
        <v>0.87329999999999997</v>
      </c>
      <c r="C18" s="1" t="s">
        <v>42</v>
      </c>
      <c r="D18" s="1" t="s">
        <v>17</v>
      </c>
      <c r="E18" s="1"/>
    </row>
    <row r="19" spans="1:5" x14ac:dyDescent="0.35">
      <c r="A19" s="1" t="s">
        <v>43</v>
      </c>
      <c r="B19" s="1">
        <v>0.81820000000000004</v>
      </c>
      <c r="C19" s="1" t="s">
        <v>42</v>
      </c>
      <c r="D19" s="1" t="s">
        <v>17</v>
      </c>
      <c r="E19" s="1"/>
    </row>
    <row r="20" spans="1:5" x14ac:dyDescent="0.35">
      <c r="A20" s="1" t="s">
        <v>44</v>
      </c>
      <c r="B20" s="1">
        <v>0.86850000000000005</v>
      </c>
      <c r="C20" s="1" t="s">
        <v>42</v>
      </c>
      <c r="D20" s="1" t="s">
        <v>17</v>
      </c>
      <c r="E20" s="1"/>
    </row>
    <row r="21" spans="1:5" x14ac:dyDescent="0.35">
      <c r="A21" s="1" t="s">
        <v>45</v>
      </c>
      <c r="B21" s="1">
        <v>1.9178082191780819E-2</v>
      </c>
      <c r="C21" s="1" t="s">
        <v>37</v>
      </c>
      <c r="D21" s="1" t="s">
        <v>17</v>
      </c>
      <c r="E21" s="1"/>
    </row>
    <row r="22" spans="1:5" x14ac:dyDescent="0.35">
      <c r="A22" s="3" t="s">
        <v>46</v>
      </c>
      <c r="B22" s="3">
        <v>0</v>
      </c>
      <c r="C22" s="3" t="s">
        <v>47</v>
      </c>
      <c r="D22" s="3" t="s">
        <v>24</v>
      </c>
      <c r="E22" s="3"/>
    </row>
    <row r="23" spans="1:5" x14ac:dyDescent="0.35">
      <c r="A23" s="1" t="s">
        <v>48</v>
      </c>
      <c r="B23" s="1" t="b">
        <v>1</v>
      </c>
      <c r="C23" s="1" t="s">
        <v>49</v>
      </c>
      <c r="D23" s="1" t="s">
        <v>17</v>
      </c>
      <c r="E23" s="1" t="s">
        <v>50</v>
      </c>
    </row>
    <row r="24" spans="1:5" ht="29" x14ac:dyDescent="0.35">
      <c r="A24" s="3" t="s">
        <v>51</v>
      </c>
      <c r="B24" s="3"/>
      <c r="C24" s="3" t="s">
        <v>52</v>
      </c>
      <c r="D24" s="3" t="s">
        <v>24</v>
      </c>
      <c r="E24" s="3" t="s">
        <v>53</v>
      </c>
    </row>
    <row r="25" spans="1:5" x14ac:dyDescent="0.35">
      <c r="A25" s="1" t="s">
        <v>54</v>
      </c>
      <c r="B25" s="1">
        <v>0.5</v>
      </c>
      <c r="C25" s="1" t="s">
        <v>37</v>
      </c>
      <c r="D25" s="1" t="s">
        <v>17</v>
      </c>
      <c r="E25" s="1"/>
    </row>
    <row r="26" spans="1:5" x14ac:dyDescent="0.35">
      <c r="A26" s="1" t="s">
        <v>55</v>
      </c>
      <c r="B26" s="1">
        <v>45000</v>
      </c>
      <c r="C26" s="1" t="s">
        <v>56</v>
      </c>
      <c r="D26" s="1" t="s">
        <v>17</v>
      </c>
      <c r="E26" s="1"/>
    </row>
    <row r="27" spans="1:5" x14ac:dyDescent="0.35">
      <c r="A27" s="1" t="s">
        <v>57</v>
      </c>
      <c r="B27" s="1">
        <v>75000</v>
      </c>
      <c r="C27" s="1" t="s">
        <v>56</v>
      </c>
      <c r="D27" s="1" t="s">
        <v>17</v>
      </c>
      <c r="E2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6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44" customWidth="1"/>
    <col min="3" max="3" width="14" customWidth="1"/>
    <col min="4" max="4" width="41" customWidth="1"/>
    <col min="5" max="5" width="24" customWidth="1"/>
    <col min="6" max="6" width="14" customWidth="1"/>
    <col min="7" max="7" width="16" customWidth="1"/>
    <col min="8" max="8" width="14" customWidth="1"/>
    <col min="9" max="9" width="15" customWidth="1"/>
    <col min="10" max="10" width="18" customWidth="1"/>
    <col min="11" max="11" width="29" customWidth="1"/>
    <col min="12" max="12" width="31" customWidth="1"/>
    <col min="13" max="13" width="30" customWidth="1"/>
    <col min="14" max="14" width="17" customWidth="1"/>
    <col min="15" max="15" width="24" customWidth="1"/>
    <col min="16" max="16" width="27" customWidth="1"/>
    <col min="17" max="17" width="31" customWidth="1"/>
    <col min="18" max="18" width="35" customWidth="1"/>
    <col min="19" max="19" width="29" customWidth="1"/>
    <col min="20" max="20" width="14" customWidth="1"/>
    <col min="21" max="21" width="15" customWidth="1"/>
    <col min="22" max="22" width="23" customWidth="1"/>
    <col min="23" max="23" width="18" customWidth="1"/>
    <col min="24" max="24" width="21" customWidth="1"/>
    <col min="25" max="25" width="18" customWidth="1"/>
    <col min="26" max="28" width="20" customWidth="1"/>
    <col min="29" max="29" width="14" customWidth="1"/>
    <col min="30" max="30" width="26" customWidth="1"/>
    <col min="31" max="31" width="22" customWidth="1"/>
    <col min="32" max="32" width="35" customWidth="1"/>
    <col min="33" max="33" width="34" customWidth="1"/>
    <col min="34" max="34" width="35" customWidth="1"/>
    <col min="35" max="35" width="41" customWidth="1"/>
    <col min="36" max="36" width="20" customWidth="1"/>
    <col min="37" max="37" width="24" customWidth="1"/>
    <col min="38" max="38" width="20" customWidth="1"/>
    <col min="39" max="39" width="21" customWidth="1"/>
    <col min="40" max="40" width="30" customWidth="1"/>
    <col min="41" max="42" width="15" customWidth="1"/>
    <col min="43" max="44" width="20" customWidth="1"/>
    <col min="45" max="46" width="26" customWidth="1"/>
    <col min="47" max="47" width="22" customWidth="1"/>
    <col min="48" max="48" width="44" customWidth="1"/>
  </cols>
  <sheetData>
    <row r="1" spans="1:48" ht="29" x14ac:dyDescent="0.35">
      <c r="A1" s="4" t="s">
        <v>58</v>
      </c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29" x14ac:dyDescent="0.35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2" t="s">
        <v>72</v>
      </c>
      <c r="N2" s="2" t="s">
        <v>73</v>
      </c>
      <c r="O2" s="2" t="s">
        <v>74</v>
      </c>
      <c r="P2" s="2" t="s">
        <v>75</v>
      </c>
      <c r="Q2" s="2" t="s">
        <v>76</v>
      </c>
      <c r="R2" s="2" t="s">
        <v>77</v>
      </c>
      <c r="S2" s="2" t="s">
        <v>78</v>
      </c>
      <c r="T2" s="2" t="s">
        <v>79</v>
      </c>
      <c r="U2" s="2" t="s">
        <v>80</v>
      </c>
      <c r="V2" s="2" t="s">
        <v>81</v>
      </c>
      <c r="W2" s="2" t="s">
        <v>82</v>
      </c>
      <c r="X2" s="2" t="s">
        <v>83</v>
      </c>
      <c r="Y2" s="2" t="s">
        <v>84</v>
      </c>
      <c r="Z2" s="2" t="s">
        <v>85</v>
      </c>
      <c r="AA2" s="2" t="s">
        <v>86</v>
      </c>
      <c r="AB2" s="2" t="s">
        <v>87</v>
      </c>
      <c r="AC2" s="2" t="s">
        <v>88</v>
      </c>
      <c r="AD2" s="2" t="s">
        <v>89</v>
      </c>
      <c r="AE2" s="2" t="s">
        <v>90</v>
      </c>
      <c r="AF2" s="2" t="s">
        <v>91</v>
      </c>
      <c r="AG2" s="2" t="s">
        <v>92</v>
      </c>
      <c r="AH2" s="2" t="s">
        <v>93</v>
      </c>
      <c r="AI2" s="2" t="s">
        <v>94</v>
      </c>
      <c r="AJ2" s="2" t="s">
        <v>95</v>
      </c>
      <c r="AK2" s="2" t="s">
        <v>96</v>
      </c>
      <c r="AL2" s="2" t="s">
        <v>97</v>
      </c>
      <c r="AM2" s="2" t="s">
        <v>98</v>
      </c>
      <c r="AN2" s="2" t="s">
        <v>99</v>
      </c>
      <c r="AO2" s="2" t="s">
        <v>100</v>
      </c>
      <c r="AP2" s="2" t="s">
        <v>101</v>
      </c>
      <c r="AQ2" s="2" t="s">
        <v>102</v>
      </c>
      <c r="AR2" s="2" t="s">
        <v>103</v>
      </c>
      <c r="AS2" s="2" t="s">
        <v>104</v>
      </c>
      <c r="AT2" s="2" t="s">
        <v>105</v>
      </c>
      <c r="AU2" s="2" t="s">
        <v>106</v>
      </c>
      <c r="AV2" s="2" t="s">
        <v>107</v>
      </c>
    </row>
    <row r="3" spans="1:48" ht="29" x14ac:dyDescent="0.35">
      <c r="A3" s="1" t="s">
        <v>108</v>
      </c>
      <c r="B3" s="1" t="s">
        <v>109</v>
      </c>
      <c r="C3" s="1" t="s">
        <v>110</v>
      </c>
      <c r="D3" s="1" t="s">
        <v>111</v>
      </c>
      <c r="E3" s="1">
        <v>1500</v>
      </c>
      <c r="F3" s="1">
        <v>2000</v>
      </c>
      <c r="G3" s="1">
        <v>0.3</v>
      </c>
      <c r="H3" s="1">
        <v>2</v>
      </c>
      <c r="I3" s="1">
        <v>20</v>
      </c>
      <c r="J3" s="1">
        <v>450</v>
      </c>
      <c r="K3" s="1">
        <v>32</v>
      </c>
      <c r="L3" s="1">
        <v>25</v>
      </c>
      <c r="M3" s="1">
        <v>7</v>
      </c>
      <c r="N3" s="1">
        <v>1</v>
      </c>
      <c r="O3" s="1">
        <v>16</v>
      </c>
      <c r="P3" s="1">
        <v>4</v>
      </c>
      <c r="Q3" s="1">
        <v>37</v>
      </c>
      <c r="R3" s="1">
        <v>33</v>
      </c>
      <c r="S3" s="1">
        <v>0.10526315789473679</v>
      </c>
      <c r="T3" s="1">
        <v>51066</v>
      </c>
      <c r="U3" s="1">
        <v>5296.2304000000004</v>
      </c>
      <c r="V3" s="1">
        <v>76318.399999999994</v>
      </c>
      <c r="W3" s="1">
        <v>56362.2304</v>
      </c>
      <c r="X3" s="1">
        <v>-19956.16959999999</v>
      </c>
      <c r="Y3" s="1">
        <v>4</v>
      </c>
      <c r="Z3" s="1">
        <v>0.29599999999999999</v>
      </c>
      <c r="AA3" s="1">
        <v>0.66600000000000004</v>
      </c>
      <c r="AB3" s="1">
        <v>5.92</v>
      </c>
      <c r="AC3" s="1">
        <v>6.5860000000000003</v>
      </c>
      <c r="AD3" s="1">
        <v>0.1101079452054793</v>
      </c>
      <c r="AE3" s="1">
        <v>5.1699359999999999</v>
      </c>
      <c r="AF3" s="1">
        <v>0.1101999999999999</v>
      </c>
      <c r="AG3" s="1">
        <v>0.66600000000000004</v>
      </c>
      <c r="AH3" s="1">
        <v>5.2800439452054793</v>
      </c>
      <c r="AI3" s="1">
        <v>5.8358439452054798</v>
      </c>
      <c r="AJ3" s="1">
        <v>5.2800439452054793</v>
      </c>
      <c r="AK3" s="1">
        <v>-4989.0423999999985</v>
      </c>
      <c r="AL3" s="1">
        <v>-3030.089523231095</v>
      </c>
      <c r="AM3" s="1">
        <v>-3779.546118763104</v>
      </c>
      <c r="AN3" s="1">
        <v>-3419.5858880694141</v>
      </c>
      <c r="AO3" s="1">
        <v>316326.16960000002</v>
      </c>
      <c r="AP3" s="1">
        <v>513906.16960000002</v>
      </c>
      <c r="AQ3" s="1">
        <v>257558.1471342466</v>
      </c>
      <c r="AR3" s="1">
        <v>415959.46549041092</v>
      </c>
      <c r="AS3" s="1">
        <v>282569.14713424648</v>
      </c>
      <c r="AT3" s="1">
        <v>457644.46549041092</v>
      </c>
      <c r="AU3" s="1" t="s">
        <v>112</v>
      </c>
      <c r="AV3" s="1" t="s">
        <v>113</v>
      </c>
    </row>
    <row r="4" spans="1:48" ht="29" x14ac:dyDescent="0.35">
      <c r="A4" s="1" t="s">
        <v>114</v>
      </c>
      <c r="B4" s="1" t="s">
        <v>115</v>
      </c>
      <c r="C4" s="1" t="s">
        <v>110</v>
      </c>
      <c r="D4" s="1" t="s">
        <v>111</v>
      </c>
      <c r="E4" s="1">
        <v>1500</v>
      </c>
      <c r="F4" s="1">
        <v>2000</v>
      </c>
      <c r="G4" s="1">
        <v>0.3</v>
      </c>
      <c r="H4" s="1">
        <v>2</v>
      </c>
      <c r="I4" s="1">
        <v>20</v>
      </c>
      <c r="J4" s="1">
        <v>450</v>
      </c>
      <c r="K4" s="1">
        <v>67</v>
      </c>
      <c r="L4" s="1">
        <v>54</v>
      </c>
      <c r="M4" s="1">
        <v>6</v>
      </c>
      <c r="N4" s="1">
        <v>3</v>
      </c>
      <c r="O4" s="1">
        <v>40</v>
      </c>
      <c r="P4" s="1">
        <v>11</v>
      </c>
      <c r="Q4" s="1">
        <v>37</v>
      </c>
      <c r="R4" s="1">
        <v>26</v>
      </c>
      <c r="S4" s="1">
        <v>0.30434782608695649</v>
      </c>
      <c r="T4" s="1">
        <v>51066</v>
      </c>
      <c r="U4" s="1">
        <v>11088.982400000001</v>
      </c>
      <c r="V4" s="1">
        <v>209875.6</v>
      </c>
      <c r="W4" s="1">
        <v>62154.982400000001</v>
      </c>
      <c r="X4" s="1">
        <v>-147720.6176</v>
      </c>
      <c r="Y4" s="1">
        <v>11</v>
      </c>
      <c r="Z4" s="1">
        <v>0.81399999999999995</v>
      </c>
      <c r="AA4" s="1">
        <v>1.8314999999999999</v>
      </c>
      <c r="AB4" s="1">
        <v>16.28</v>
      </c>
      <c r="AC4" s="1">
        <v>18.111499999999999</v>
      </c>
      <c r="AD4" s="1">
        <v>0.30277383561643789</v>
      </c>
      <c r="AE4" s="1">
        <v>14.217324</v>
      </c>
      <c r="AF4" s="1">
        <v>0.3030499999999996</v>
      </c>
      <c r="AG4" s="1">
        <v>1.8314999999999999</v>
      </c>
      <c r="AH4" s="1">
        <v>14.52009783561644</v>
      </c>
      <c r="AI4" s="1">
        <v>16.048547835616439</v>
      </c>
      <c r="AJ4" s="1">
        <v>14.52009783561644</v>
      </c>
      <c r="AK4" s="1">
        <v>-13429.14705454545</v>
      </c>
      <c r="AL4" s="1">
        <v>-8156.1779863622542</v>
      </c>
      <c r="AM4" s="1">
        <v>-10173.52770431444</v>
      </c>
      <c r="AN4" s="1">
        <v>-9204.609607865239</v>
      </c>
      <c r="AO4" s="1">
        <v>962738.1176</v>
      </c>
      <c r="AP4" s="1">
        <v>1506083.1176</v>
      </c>
      <c r="AQ4" s="1">
        <v>801125.02020273963</v>
      </c>
      <c r="AR4" s="1">
        <v>1236727.9552712331</v>
      </c>
      <c r="AS4" s="1">
        <v>869905.27020273975</v>
      </c>
      <c r="AT4" s="1">
        <v>1351361.7052712331</v>
      </c>
      <c r="AU4" s="1" t="s">
        <v>112</v>
      </c>
      <c r="AV4" s="1" t="s">
        <v>113</v>
      </c>
    </row>
    <row r="5" spans="1:48" ht="29" x14ac:dyDescent="0.35">
      <c r="A5" s="1" t="s">
        <v>116</v>
      </c>
      <c r="B5" s="1" t="s">
        <v>117</v>
      </c>
      <c r="C5" s="1" t="s">
        <v>110</v>
      </c>
      <c r="D5" s="1" t="s">
        <v>111</v>
      </c>
      <c r="E5" s="1">
        <v>1500</v>
      </c>
      <c r="F5" s="1">
        <v>2000</v>
      </c>
      <c r="G5" s="1">
        <v>0.3</v>
      </c>
      <c r="H5" s="1">
        <v>2</v>
      </c>
      <c r="I5" s="1">
        <v>20</v>
      </c>
      <c r="J5" s="1">
        <v>450</v>
      </c>
      <c r="K5" s="1">
        <v>67</v>
      </c>
      <c r="L5" s="1">
        <v>54</v>
      </c>
      <c r="M5" s="1">
        <v>6</v>
      </c>
      <c r="N5" s="1">
        <v>3</v>
      </c>
      <c r="O5" s="1">
        <v>40</v>
      </c>
      <c r="P5" s="1">
        <v>11</v>
      </c>
      <c r="Q5" s="1">
        <v>37</v>
      </c>
      <c r="R5" s="1">
        <v>26</v>
      </c>
      <c r="S5" s="1">
        <v>0.29729729729729731</v>
      </c>
      <c r="T5" s="1">
        <v>51066</v>
      </c>
      <c r="U5" s="1">
        <v>11088.982400000001</v>
      </c>
      <c r="V5" s="1">
        <v>209875.6</v>
      </c>
      <c r="W5" s="1">
        <v>62154.982400000001</v>
      </c>
      <c r="X5" s="1">
        <v>-147720.6176</v>
      </c>
      <c r="Y5" s="1">
        <v>11</v>
      </c>
      <c r="Z5" s="1">
        <v>0.81399999999999995</v>
      </c>
      <c r="AA5" s="1">
        <v>1.8314999999999999</v>
      </c>
      <c r="AB5" s="1">
        <v>16.28</v>
      </c>
      <c r="AC5" s="1">
        <v>18.111499999999999</v>
      </c>
      <c r="AD5" s="1">
        <v>0.30277383561643789</v>
      </c>
      <c r="AE5" s="1">
        <v>14.217324</v>
      </c>
      <c r="AF5" s="1">
        <v>0.3030499999999996</v>
      </c>
      <c r="AG5" s="1">
        <v>1.8314999999999999</v>
      </c>
      <c r="AH5" s="1">
        <v>14.52009783561644</v>
      </c>
      <c r="AI5" s="1">
        <v>16.048547835616439</v>
      </c>
      <c r="AJ5" s="1">
        <v>14.52009783561644</v>
      </c>
      <c r="AK5" s="1">
        <v>-13429.14705454545</v>
      </c>
      <c r="AL5" s="1">
        <v>-8156.1779863622542</v>
      </c>
      <c r="AM5" s="1">
        <v>-10173.52770431444</v>
      </c>
      <c r="AN5" s="1">
        <v>-9204.609607865239</v>
      </c>
      <c r="AO5" s="1">
        <v>962738.1176</v>
      </c>
      <c r="AP5" s="1">
        <v>1506083.1176</v>
      </c>
      <c r="AQ5" s="1">
        <v>801125.02020273963</v>
      </c>
      <c r="AR5" s="1">
        <v>1236727.9552712331</v>
      </c>
      <c r="AS5" s="1">
        <v>869905.27020273975</v>
      </c>
      <c r="AT5" s="1">
        <v>1351361.7052712331</v>
      </c>
      <c r="AU5" s="1" t="s">
        <v>112</v>
      </c>
      <c r="AV5" s="1" t="s">
        <v>113</v>
      </c>
    </row>
    <row r="6" spans="1:48" ht="29" x14ac:dyDescent="0.35">
      <c r="A6" s="1" t="s">
        <v>118</v>
      </c>
      <c r="B6" s="1" t="s">
        <v>119</v>
      </c>
      <c r="C6" s="1" t="s">
        <v>110</v>
      </c>
      <c r="D6" s="1" t="s">
        <v>111</v>
      </c>
      <c r="E6" s="1">
        <v>1500</v>
      </c>
      <c r="F6" s="1">
        <v>2000</v>
      </c>
      <c r="G6" s="1">
        <v>0.3</v>
      </c>
      <c r="H6" s="1">
        <v>2</v>
      </c>
      <c r="I6" s="1">
        <v>20</v>
      </c>
      <c r="J6" s="1">
        <v>450</v>
      </c>
      <c r="K6" s="1">
        <v>62</v>
      </c>
      <c r="L6" s="1">
        <v>50</v>
      </c>
      <c r="M6" s="1">
        <v>6</v>
      </c>
      <c r="N6" s="1">
        <v>3</v>
      </c>
      <c r="O6" s="1">
        <v>37</v>
      </c>
      <c r="P6" s="1">
        <v>12</v>
      </c>
      <c r="Q6" s="1">
        <v>37</v>
      </c>
      <c r="R6" s="1">
        <v>25</v>
      </c>
      <c r="S6" s="1">
        <v>0.3235294117647059</v>
      </c>
      <c r="T6" s="1">
        <v>51066</v>
      </c>
      <c r="U6" s="1">
        <v>10261.446400000001</v>
      </c>
      <c r="V6" s="1">
        <v>228955.2</v>
      </c>
      <c r="W6" s="1">
        <v>61327.446400000001</v>
      </c>
      <c r="X6" s="1">
        <v>-167627.7536</v>
      </c>
      <c r="Y6" s="1">
        <v>12</v>
      </c>
      <c r="Z6" s="1">
        <v>0.8879999999999999</v>
      </c>
      <c r="AA6" s="1">
        <v>1.998</v>
      </c>
      <c r="AB6" s="1">
        <v>17.760000000000002</v>
      </c>
      <c r="AC6" s="1">
        <v>19.757999999999999</v>
      </c>
      <c r="AD6" s="1">
        <v>0.33032383561643791</v>
      </c>
      <c r="AE6" s="1">
        <v>15.509808</v>
      </c>
      <c r="AF6" s="1">
        <v>0.33059999999999962</v>
      </c>
      <c r="AG6" s="1">
        <v>1.998</v>
      </c>
      <c r="AH6" s="1">
        <v>15.84013183561644</v>
      </c>
      <c r="AI6" s="1">
        <v>17.50753183561644</v>
      </c>
      <c r="AJ6" s="1">
        <v>15.84013183561644</v>
      </c>
      <c r="AK6" s="1">
        <v>-13968.979466666669</v>
      </c>
      <c r="AL6" s="1">
        <v>-8484.0446199008002</v>
      </c>
      <c r="AM6" s="1">
        <v>-10582.47212457475</v>
      </c>
      <c r="AN6" s="1">
        <v>-9574.6079558162819</v>
      </c>
      <c r="AO6" s="1">
        <v>1056737.7535999999</v>
      </c>
      <c r="AP6" s="1">
        <v>1649477.7535999999</v>
      </c>
      <c r="AQ6" s="1">
        <v>880433.6862027396</v>
      </c>
      <c r="AR6" s="1">
        <v>1355637.6412712331</v>
      </c>
      <c r="AS6" s="1">
        <v>955466.68620273983</v>
      </c>
      <c r="AT6" s="1">
        <v>1480692.6412712331</v>
      </c>
      <c r="AU6" s="1" t="s">
        <v>112</v>
      </c>
      <c r="AV6" s="1" t="s">
        <v>113</v>
      </c>
    </row>
    <row r="7" spans="1:4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5">
      <c r="A9" s="4" t="s">
        <v>120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5">
      <c r="A10" s="2" t="s">
        <v>60</v>
      </c>
      <c r="B10" s="2" t="s">
        <v>61</v>
      </c>
      <c r="C10" s="2" t="s">
        <v>121</v>
      </c>
      <c r="D10" s="2" t="s">
        <v>122</v>
      </c>
      <c r="E10" s="2" t="s">
        <v>123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x14ac:dyDescent="0.35">
      <c r="A11" s="1" t="s">
        <v>108</v>
      </c>
      <c r="B11" s="1" t="s">
        <v>109</v>
      </c>
      <c r="C11" s="1" t="s">
        <v>124</v>
      </c>
      <c r="D11" s="1" t="s">
        <v>84</v>
      </c>
      <c r="E11" s="1">
        <v>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5">
      <c r="A12" s="1" t="s">
        <v>108</v>
      </c>
      <c r="B12" s="1" t="s">
        <v>109</v>
      </c>
      <c r="C12" s="1" t="s">
        <v>124</v>
      </c>
      <c r="D12" s="1" t="s">
        <v>85</v>
      </c>
      <c r="E12" s="1">
        <v>0.29599999999999999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5">
      <c r="A13" s="1" t="s">
        <v>108</v>
      </c>
      <c r="B13" s="1" t="s">
        <v>109</v>
      </c>
      <c r="C13" s="1" t="s">
        <v>124</v>
      </c>
      <c r="D13" s="1" t="s">
        <v>86</v>
      </c>
      <c r="E13" s="1">
        <v>0.66600000000000004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5">
      <c r="A14" s="1" t="s">
        <v>108</v>
      </c>
      <c r="B14" s="1" t="s">
        <v>109</v>
      </c>
      <c r="C14" s="1" t="s">
        <v>124</v>
      </c>
      <c r="D14" s="1" t="s">
        <v>87</v>
      </c>
      <c r="E14" s="1">
        <v>5.92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5">
      <c r="A15" s="1" t="s">
        <v>108</v>
      </c>
      <c r="B15" s="1" t="s">
        <v>109</v>
      </c>
      <c r="C15" s="1" t="s">
        <v>124</v>
      </c>
      <c r="D15" s="1" t="s">
        <v>88</v>
      </c>
      <c r="E15" s="1">
        <v>6.5860000000000003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5">
      <c r="A16" s="1" t="s">
        <v>108</v>
      </c>
      <c r="B16" s="1" t="s">
        <v>109</v>
      </c>
      <c r="C16" s="1" t="s">
        <v>124</v>
      </c>
      <c r="D16" s="1" t="s">
        <v>51</v>
      </c>
      <c r="E16" s="1">
        <v>17.466000000000001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5">
      <c r="A17" s="1" t="s">
        <v>108</v>
      </c>
      <c r="B17" s="1" t="s">
        <v>109</v>
      </c>
      <c r="C17" s="1" t="s">
        <v>124</v>
      </c>
      <c r="D17" s="1" t="s">
        <v>90</v>
      </c>
      <c r="E17" s="1">
        <v>5.1699359999999999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5">
      <c r="A18" s="1" t="s">
        <v>108</v>
      </c>
      <c r="B18" s="1" t="s">
        <v>109</v>
      </c>
      <c r="C18" s="1" t="s">
        <v>124</v>
      </c>
      <c r="D18" s="1" t="s">
        <v>91</v>
      </c>
      <c r="E18" s="1">
        <v>0.1101999999999999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5">
      <c r="A19" s="1" t="s">
        <v>108</v>
      </c>
      <c r="B19" s="1" t="s">
        <v>109</v>
      </c>
      <c r="C19" s="1" t="s">
        <v>124</v>
      </c>
      <c r="D19" s="1" t="s">
        <v>92</v>
      </c>
      <c r="E19" s="1">
        <v>0.66600000000000004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5">
      <c r="A20" s="1" t="s">
        <v>108</v>
      </c>
      <c r="B20" s="1" t="s">
        <v>109</v>
      </c>
      <c r="C20" s="1" t="s">
        <v>124</v>
      </c>
      <c r="D20" s="1" t="s">
        <v>89</v>
      </c>
      <c r="E20" s="1">
        <v>0.1101079452054793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5">
      <c r="A21" s="1" t="s">
        <v>108</v>
      </c>
      <c r="B21" s="1" t="s">
        <v>109</v>
      </c>
      <c r="C21" s="1" t="s">
        <v>124</v>
      </c>
      <c r="D21" s="1" t="s">
        <v>125</v>
      </c>
      <c r="E21" s="1">
        <v>0.1101999999999999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5">
      <c r="A22" s="1" t="s">
        <v>108</v>
      </c>
      <c r="B22" s="1" t="s">
        <v>109</v>
      </c>
      <c r="C22" s="1" t="s">
        <v>124</v>
      </c>
      <c r="D22" s="1" t="s">
        <v>126</v>
      </c>
      <c r="E22" s="1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5">
      <c r="A23" s="1" t="s">
        <v>108</v>
      </c>
      <c r="B23" s="1" t="s">
        <v>109</v>
      </c>
      <c r="C23" s="1" t="s">
        <v>124</v>
      </c>
      <c r="D23" s="1" t="s">
        <v>127</v>
      </c>
      <c r="E23" s="1">
        <v>9.2054794520546329E-5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5">
      <c r="A24" s="1" t="s">
        <v>108</v>
      </c>
      <c r="B24" s="1" t="s">
        <v>109</v>
      </c>
      <c r="C24" s="1" t="s">
        <v>124</v>
      </c>
      <c r="D24" s="1" t="s">
        <v>128</v>
      </c>
      <c r="E24" s="1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5">
      <c r="A25" s="1" t="s">
        <v>108</v>
      </c>
      <c r="B25" s="1" t="s">
        <v>109</v>
      </c>
      <c r="C25" s="1" t="s">
        <v>124</v>
      </c>
      <c r="D25" s="1" t="s">
        <v>129</v>
      </c>
      <c r="E25" s="1">
        <v>9.2054794520546329E-5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5">
      <c r="A26" s="1" t="s">
        <v>108</v>
      </c>
      <c r="B26" s="1" t="s">
        <v>109</v>
      </c>
      <c r="C26" s="1" t="s">
        <v>124</v>
      </c>
      <c r="D26" s="1" t="s">
        <v>93</v>
      </c>
      <c r="E26" s="1">
        <v>5.2800439452054793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5">
      <c r="A27" s="1" t="s">
        <v>108</v>
      </c>
      <c r="B27" s="1" t="s">
        <v>109</v>
      </c>
      <c r="C27" s="1" t="s">
        <v>124</v>
      </c>
      <c r="D27" s="1" t="s">
        <v>94</v>
      </c>
      <c r="E27" s="1">
        <v>5.8358439452054798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5">
      <c r="A28" s="1" t="s">
        <v>108</v>
      </c>
      <c r="B28" s="1" t="s">
        <v>109</v>
      </c>
      <c r="C28" s="1" t="s">
        <v>124</v>
      </c>
      <c r="D28" s="1" t="s">
        <v>95</v>
      </c>
      <c r="E28" s="1">
        <v>5.2800439452054793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5">
      <c r="A29" s="1" t="s">
        <v>114</v>
      </c>
      <c r="B29" s="1" t="s">
        <v>115</v>
      </c>
      <c r="C29" s="1" t="s">
        <v>124</v>
      </c>
      <c r="D29" s="1" t="s">
        <v>84</v>
      </c>
      <c r="E29" s="1">
        <v>11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5">
      <c r="A30" s="1" t="s">
        <v>114</v>
      </c>
      <c r="B30" s="1" t="s">
        <v>115</v>
      </c>
      <c r="C30" s="1" t="s">
        <v>124</v>
      </c>
      <c r="D30" s="1" t="s">
        <v>85</v>
      </c>
      <c r="E30" s="1">
        <v>0.81399999999999995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5">
      <c r="A31" s="1" t="s">
        <v>114</v>
      </c>
      <c r="B31" s="1" t="s">
        <v>115</v>
      </c>
      <c r="C31" s="1" t="s">
        <v>124</v>
      </c>
      <c r="D31" s="1" t="s">
        <v>86</v>
      </c>
      <c r="E31" s="1">
        <v>1.8314999999999999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5">
      <c r="A32" s="1" t="s">
        <v>114</v>
      </c>
      <c r="B32" s="1" t="s">
        <v>115</v>
      </c>
      <c r="C32" s="1" t="s">
        <v>124</v>
      </c>
      <c r="D32" s="1" t="s">
        <v>87</v>
      </c>
      <c r="E32" s="1">
        <v>16.28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5">
      <c r="A33" s="1" t="s">
        <v>114</v>
      </c>
      <c r="B33" s="1" t="s">
        <v>115</v>
      </c>
      <c r="C33" s="1" t="s">
        <v>124</v>
      </c>
      <c r="D33" s="1" t="s">
        <v>88</v>
      </c>
      <c r="E33" s="1">
        <v>18.111499999999999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5">
      <c r="A34" s="1" t="s">
        <v>114</v>
      </c>
      <c r="B34" s="1" t="s">
        <v>115</v>
      </c>
      <c r="C34" s="1" t="s">
        <v>124</v>
      </c>
      <c r="D34" s="1" t="s">
        <v>51</v>
      </c>
      <c r="E34" s="1">
        <v>17.466000000000001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5">
      <c r="A35" s="1" t="s">
        <v>114</v>
      </c>
      <c r="B35" s="1" t="s">
        <v>115</v>
      </c>
      <c r="C35" s="1" t="s">
        <v>124</v>
      </c>
      <c r="D35" s="1" t="s">
        <v>90</v>
      </c>
      <c r="E35" s="1">
        <v>14.217324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5">
      <c r="A36" s="1" t="s">
        <v>114</v>
      </c>
      <c r="B36" s="1" t="s">
        <v>115</v>
      </c>
      <c r="C36" s="1" t="s">
        <v>124</v>
      </c>
      <c r="D36" s="1" t="s">
        <v>91</v>
      </c>
      <c r="E36" s="1">
        <v>0.3030499999999996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5">
      <c r="A37" s="1" t="s">
        <v>114</v>
      </c>
      <c r="B37" s="1" t="s">
        <v>115</v>
      </c>
      <c r="C37" s="1" t="s">
        <v>124</v>
      </c>
      <c r="D37" s="1" t="s">
        <v>92</v>
      </c>
      <c r="E37" s="1">
        <v>1.8314999999999999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5">
      <c r="A38" s="1" t="s">
        <v>114</v>
      </c>
      <c r="B38" s="1" t="s">
        <v>115</v>
      </c>
      <c r="C38" s="1" t="s">
        <v>124</v>
      </c>
      <c r="D38" s="1" t="s">
        <v>89</v>
      </c>
      <c r="E38" s="1">
        <v>0.30277383561643789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5">
      <c r="A39" s="1" t="s">
        <v>114</v>
      </c>
      <c r="B39" s="1" t="s">
        <v>115</v>
      </c>
      <c r="C39" s="1" t="s">
        <v>124</v>
      </c>
      <c r="D39" s="1" t="s">
        <v>125</v>
      </c>
      <c r="E39" s="1">
        <v>0.3030499999999996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5">
      <c r="A40" s="1" t="s">
        <v>114</v>
      </c>
      <c r="B40" s="1" t="s">
        <v>115</v>
      </c>
      <c r="C40" s="1" t="s">
        <v>124</v>
      </c>
      <c r="D40" s="1" t="s">
        <v>126</v>
      </c>
      <c r="E40" s="1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5">
      <c r="A41" s="1" t="s">
        <v>114</v>
      </c>
      <c r="B41" s="1" t="s">
        <v>115</v>
      </c>
      <c r="C41" s="1" t="s">
        <v>124</v>
      </c>
      <c r="D41" s="1" t="s">
        <v>127</v>
      </c>
      <c r="E41" s="1">
        <v>2.7616438356163901E-4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5">
      <c r="A42" s="1" t="s">
        <v>114</v>
      </c>
      <c r="B42" s="1" t="s">
        <v>115</v>
      </c>
      <c r="C42" s="1" t="s">
        <v>124</v>
      </c>
      <c r="D42" s="1" t="s">
        <v>128</v>
      </c>
      <c r="E42" s="1">
        <v>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5">
      <c r="A43" s="1" t="s">
        <v>114</v>
      </c>
      <c r="B43" s="1" t="s">
        <v>115</v>
      </c>
      <c r="C43" s="1" t="s">
        <v>124</v>
      </c>
      <c r="D43" s="1" t="s">
        <v>129</v>
      </c>
      <c r="E43" s="1">
        <v>2.7616438356163901E-4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5">
      <c r="A44" s="1" t="s">
        <v>114</v>
      </c>
      <c r="B44" s="1" t="s">
        <v>115</v>
      </c>
      <c r="C44" s="1" t="s">
        <v>124</v>
      </c>
      <c r="D44" s="1" t="s">
        <v>93</v>
      </c>
      <c r="E44" s="1">
        <v>14.52009783561644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5">
      <c r="A45" s="1" t="s">
        <v>114</v>
      </c>
      <c r="B45" s="1" t="s">
        <v>115</v>
      </c>
      <c r="C45" s="1" t="s">
        <v>124</v>
      </c>
      <c r="D45" s="1" t="s">
        <v>94</v>
      </c>
      <c r="E45" s="1">
        <v>16.048547835616439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5">
      <c r="A46" s="1" t="s">
        <v>114</v>
      </c>
      <c r="B46" s="1" t="s">
        <v>115</v>
      </c>
      <c r="C46" s="1" t="s">
        <v>124</v>
      </c>
      <c r="D46" s="1" t="s">
        <v>95</v>
      </c>
      <c r="E46" s="1">
        <v>14.52009783561644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5">
      <c r="A47" s="1" t="s">
        <v>116</v>
      </c>
      <c r="B47" s="1" t="s">
        <v>117</v>
      </c>
      <c r="C47" s="1" t="s">
        <v>124</v>
      </c>
      <c r="D47" s="1" t="s">
        <v>84</v>
      </c>
      <c r="E47" s="1">
        <v>11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5">
      <c r="A48" s="1" t="s">
        <v>116</v>
      </c>
      <c r="B48" s="1" t="s">
        <v>117</v>
      </c>
      <c r="C48" s="1" t="s">
        <v>124</v>
      </c>
      <c r="D48" s="1" t="s">
        <v>85</v>
      </c>
      <c r="E48" s="1">
        <v>0.81399999999999995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5">
      <c r="A49" s="1" t="s">
        <v>116</v>
      </c>
      <c r="B49" s="1" t="s">
        <v>117</v>
      </c>
      <c r="C49" s="1" t="s">
        <v>124</v>
      </c>
      <c r="D49" s="1" t="s">
        <v>86</v>
      </c>
      <c r="E49" s="1">
        <v>1.8314999999999999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5">
      <c r="A50" s="1" t="s">
        <v>116</v>
      </c>
      <c r="B50" s="1" t="s">
        <v>117</v>
      </c>
      <c r="C50" s="1" t="s">
        <v>124</v>
      </c>
      <c r="D50" s="1" t="s">
        <v>87</v>
      </c>
      <c r="E50" s="1">
        <v>16.28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5">
      <c r="A51" s="1" t="s">
        <v>116</v>
      </c>
      <c r="B51" s="1" t="s">
        <v>117</v>
      </c>
      <c r="C51" s="1" t="s">
        <v>124</v>
      </c>
      <c r="D51" s="1" t="s">
        <v>88</v>
      </c>
      <c r="E51" s="1">
        <v>18.111499999999999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5">
      <c r="A52" s="1" t="s">
        <v>116</v>
      </c>
      <c r="B52" s="1" t="s">
        <v>117</v>
      </c>
      <c r="C52" s="1" t="s">
        <v>124</v>
      </c>
      <c r="D52" s="1" t="s">
        <v>51</v>
      </c>
      <c r="E52" s="1">
        <v>17.466000000000001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5">
      <c r="A53" s="1" t="s">
        <v>116</v>
      </c>
      <c r="B53" s="1" t="s">
        <v>117</v>
      </c>
      <c r="C53" s="1" t="s">
        <v>124</v>
      </c>
      <c r="D53" s="1" t="s">
        <v>90</v>
      </c>
      <c r="E53" s="1">
        <v>14.217324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5">
      <c r="A54" s="1" t="s">
        <v>116</v>
      </c>
      <c r="B54" s="1" t="s">
        <v>117</v>
      </c>
      <c r="C54" s="1" t="s">
        <v>124</v>
      </c>
      <c r="D54" s="1" t="s">
        <v>91</v>
      </c>
      <c r="E54" s="1">
        <v>0.3030499999999996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5">
      <c r="A55" s="1" t="s">
        <v>116</v>
      </c>
      <c r="B55" s="1" t="s">
        <v>117</v>
      </c>
      <c r="C55" s="1" t="s">
        <v>124</v>
      </c>
      <c r="D55" s="1" t="s">
        <v>92</v>
      </c>
      <c r="E55" s="1">
        <v>1.8314999999999999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5">
      <c r="A56" s="1" t="s">
        <v>116</v>
      </c>
      <c r="B56" s="1" t="s">
        <v>117</v>
      </c>
      <c r="C56" s="1" t="s">
        <v>124</v>
      </c>
      <c r="D56" s="1" t="s">
        <v>89</v>
      </c>
      <c r="E56" s="1">
        <v>0.30277383561643789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5">
      <c r="A57" s="1" t="s">
        <v>116</v>
      </c>
      <c r="B57" s="1" t="s">
        <v>117</v>
      </c>
      <c r="C57" s="1" t="s">
        <v>124</v>
      </c>
      <c r="D57" s="1" t="s">
        <v>125</v>
      </c>
      <c r="E57" s="1">
        <v>0.3030499999999996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5">
      <c r="A58" s="1" t="s">
        <v>116</v>
      </c>
      <c r="B58" s="1" t="s">
        <v>117</v>
      </c>
      <c r="C58" s="1" t="s">
        <v>124</v>
      </c>
      <c r="D58" s="1" t="s">
        <v>126</v>
      </c>
      <c r="E58" s="1">
        <v>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5">
      <c r="A59" s="1" t="s">
        <v>116</v>
      </c>
      <c r="B59" s="1" t="s">
        <v>117</v>
      </c>
      <c r="C59" s="1" t="s">
        <v>124</v>
      </c>
      <c r="D59" s="1" t="s">
        <v>127</v>
      </c>
      <c r="E59" s="1">
        <v>2.7616438356163901E-4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5">
      <c r="A60" s="1" t="s">
        <v>116</v>
      </c>
      <c r="B60" s="1" t="s">
        <v>117</v>
      </c>
      <c r="C60" s="1" t="s">
        <v>124</v>
      </c>
      <c r="D60" s="1" t="s">
        <v>128</v>
      </c>
      <c r="E60" s="1">
        <v>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5">
      <c r="A61" s="1" t="s">
        <v>116</v>
      </c>
      <c r="B61" s="1" t="s">
        <v>117</v>
      </c>
      <c r="C61" s="1" t="s">
        <v>124</v>
      </c>
      <c r="D61" s="1" t="s">
        <v>129</v>
      </c>
      <c r="E61" s="1">
        <v>2.7616438356163901E-4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5">
      <c r="A62" s="1" t="s">
        <v>116</v>
      </c>
      <c r="B62" s="1" t="s">
        <v>117</v>
      </c>
      <c r="C62" s="1" t="s">
        <v>124</v>
      </c>
      <c r="D62" s="1" t="s">
        <v>93</v>
      </c>
      <c r="E62" s="1">
        <v>14.52009783561644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5">
      <c r="A63" s="1" t="s">
        <v>116</v>
      </c>
      <c r="B63" s="1" t="s">
        <v>117</v>
      </c>
      <c r="C63" s="1" t="s">
        <v>124</v>
      </c>
      <c r="D63" s="1" t="s">
        <v>94</v>
      </c>
      <c r="E63" s="1">
        <v>16.048547835616439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5">
      <c r="A64" s="1" t="s">
        <v>116</v>
      </c>
      <c r="B64" s="1" t="s">
        <v>117</v>
      </c>
      <c r="C64" s="1" t="s">
        <v>124</v>
      </c>
      <c r="D64" s="1" t="s">
        <v>95</v>
      </c>
      <c r="E64" s="1">
        <v>14.52009783561644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5">
      <c r="A65" s="1" t="s">
        <v>118</v>
      </c>
      <c r="B65" s="1" t="s">
        <v>119</v>
      </c>
      <c r="C65" s="1" t="s">
        <v>124</v>
      </c>
      <c r="D65" s="1" t="s">
        <v>84</v>
      </c>
      <c r="E65" s="1">
        <v>12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5">
      <c r="A66" s="1" t="s">
        <v>118</v>
      </c>
      <c r="B66" s="1" t="s">
        <v>119</v>
      </c>
      <c r="C66" s="1" t="s">
        <v>124</v>
      </c>
      <c r="D66" s="1" t="s">
        <v>85</v>
      </c>
      <c r="E66" s="1">
        <v>0.8879999999999999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5">
      <c r="A67" s="1" t="s">
        <v>118</v>
      </c>
      <c r="B67" s="1" t="s">
        <v>119</v>
      </c>
      <c r="C67" s="1" t="s">
        <v>124</v>
      </c>
      <c r="D67" s="1" t="s">
        <v>86</v>
      </c>
      <c r="E67" s="1">
        <v>1.998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5">
      <c r="A68" s="1" t="s">
        <v>118</v>
      </c>
      <c r="B68" s="1" t="s">
        <v>119</v>
      </c>
      <c r="C68" s="1" t="s">
        <v>124</v>
      </c>
      <c r="D68" s="1" t="s">
        <v>87</v>
      </c>
      <c r="E68" s="1">
        <v>17.760000000000002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5">
      <c r="A69" s="1" t="s">
        <v>118</v>
      </c>
      <c r="B69" s="1" t="s">
        <v>119</v>
      </c>
      <c r="C69" s="1" t="s">
        <v>124</v>
      </c>
      <c r="D69" s="1" t="s">
        <v>88</v>
      </c>
      <c r="E69" s="1">
        <v>19.757999999999999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5">
      <c r="A70" s="1" t="s">
        <v>118</v>
      </c>
      <c r="B70" s="1" t="s">
        <v>119</v>
      </c>
      <c r="C70" s="1" t="s">
        <v>124</v>
      </c>
      <c r="D70" s="1" t="s">
        <v>51</v>
      </c>
      <c r="E70" s="1">
        <v>17.466000000000001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5">
      <c r="A71" s="1" t="s">
        <v>118</v>
      </c>
      <c r="B71" s="1" t="s">
        <v>119</v>
      </c>
      <c r="C71" s="1" t="s">
        <v>124</v>
      </c>
      <c r="D71" s="1" t="s">
        <v>90</v>
      </c>
      <c r="E71" s="1">
        <v>15.509808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5">
      <c r="A72" s="1" t="s">
        <v>118</v>
      </c>
      <c r="B72" s="1" t="s">
        <v>119</v>
      </c>
      <c r="C72" s="1" t="s">
        <v>124</v>
      </c>
      <c r="D72" s="1" t="s">
        <v>91</v>
      </c>
      <c r="E72" s="1">
        <v>0.33059999999999962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5">
      <c r="A73" s="1" t="s">
        <v>118</v>
      </c>
      <c r="B73" s="1" t="s">
        <v>119</v>
      </c>
      <c r="C73" s="1" t="s">
        <v>124</v>
      </c>
      <c r="D73" s="1" t="s">
        <v>92</v>
      </c>
      <c r="E73" s="1">
        <v>1.998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5">
      <c r="A74" s="1" t="s">
        <v>118</v>
      </c>
      <c r="B74" s="1" t="s">
        <v>119</v>
      </c>
      <c r="C74" s="1" t="s">
        <v>124</v>
      </c>
      <c r="D74" s="1" t="s">
        <v>89</v>
      </c>
      <c r="E74" s="1">
        <v>0.33032383561643791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5">
      <c r="A75" s="1" t="s">
        <v>118</v>
      </c>
      <c r="B75" s="1" t="s">
        <v>119</v>
      </c>
      <c r="C75" s="1" t="s">
        <v>124</v>
      </c>
      <c r="D75" s="1" t="s">
        <v>125</v>
      </c>
      <c r="E75" s="1">
        <v>0.33059999999999962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5">
      <c r="A76" s="1" t="s">
        <v>118</v>
      </c>
      <c r="B76" s="1" t="s">
        <v>119</v>
      </c>
      <c r="C76" s="1" t="s">
        <v>124</v>
      </c>
      <c r="D76" s="1" t="s">
        <v>126</v>
      </c>
      <c r="E76" s="1"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5">
      <c r="A77" s="1" t="s">
        <v>118</v>
      </c>
      <c r="B77" s="1" t="s">
        <v>119</v>
      </c>
      <c r="C77" s="1" t="s">
        <v>124</v>
      </c>
      <c r="D77" s="1" t="s">
        <v>127</v>
      </c>
      <c r="E77" s="1">
        <v>2.7616438356163901E-4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5">
      <c r="A78" s="1" t="s">
        <v>118</v>
      </c>
      <c r="B78" s="1" t="s">
        <v>119</v>
      </c>
      <c r="C78" s="1" t="s">
        <v>124</v>
      </c>
      <c r="D78" s="1" t="s">
        <v>128</v>
      </c>
      <c r="E78" s="1"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5">
      <c r="A79" s="1" t="s">
        <v>118</v>
      </c>
      <c r="B79" s="1" t="s">
        <v>119</v>
      </c>
      <c r="C79" s="1" t="s">
        <v>124</v>
      </c>
      <c r="D79" s="1" t="s">
        <v>129</v>
      </c>
      <c r="E79" s="1">
        <v>2.7616438356163901E-4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5">
      <c r="A80" s="1" t="s">
        <v>118</v>
      </c>
      <c r="B80" s="1" t="s">
        <v>119</v>
      </c>
      <c r="C80" s="1" t="s">
        <v>124</v>
      </c>
      <c r="D80" s="1" t="s">
        <v>93</v>
      </c>
      <c r="E80" s="1">
        <v>15.84013183561644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5">
      <c r="A81" s="1" t="s">
        <v>118</v>
      </c>
      <c r="B81" s="1" t="s">
        <v>119</v>
      </c>
      <c r="C81" s="1" t="s">
        <v>124</v>
      </c>
      <c r="D81" s="1" t="s">
        <v>94</v>
      </c>
      <c r="E81" s="1">
        <v>17.50753183561644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5">
      <c r="A82" s="1" t="s">
        <v>118</v>
      </c>
      <c r="B82" s="1" t="s">
        <v>119</v>
      </c>
      <c r="C82" s="1" t="s">
        <v>124</v>
      </c>
      <c r="D82" s="1" t="s">
        <v>95</v>
      </c>
      <c r="E82" s="1">
        <v>15.84013183561644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5">
      <c r="A85" s="4" t="s">
        <v>130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5">
      <c r="A86" s="2" t="s">
        <v>60</v>
      </c>
      <c r="B86" s="2" t="s">
        <v>61</v>
      </c>
      <c r="C86" s="2" t="s">
        <v>121</v>
      </c>
      <c r="D86" s="2" t="s">
        <v>122</v>
      </c>
      <c r="E86" s="2" t="s">
        <v>123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 x14ac:dyDescent="0.35">
      <c r="A87" s="1" t="s">
        <v>108</v>
      </c>
      <c r="B87" s="1" t="s">
        <v>109</v>
      </c>
      <c r="C87" s="1" t="s">
        <v>131</v>
      </c>
      <c r="D87" s="1" t="s">
        <v>79</v>
      </c>
      <c r="E87" s="1">
        <v>51066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5">
      <c r="A88" s="1" t="s">
        <v>108</v>
      </c>
      <c r="B88" s="1" t="s">
        <v>109</v>
      </c>
      <c r="C88" s="1" t="s">
        <v>131</v>
      </c>
      <c r="D88" s="1" t="s">
        <v>80</v>
      </c>
      <c r="E88" s="1">
        <v>5296.2304000000004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5">
      <c r="A89" s="1" t="s">
        <v>108</v>
      </c>
      <c r="B89" s="1" t="s">
        <v>109</v>
      </c>
      <c r="C89" s="1" t="s">
        <v>131</v>
      </c>
      <c r="D89" s="1" t="s">
        <v>132</v>
      </c>
      <c r="E89" s="1">
        <v>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5">
      <c r="A90" s="1" t="s">
        <v>108</v>
      </c>
      <c r="B90" s="1" t="s">
        <v>109</v>
      </c>
      <c r="C90" s="1" t="s">
        <v>131</v>
      </c>
      <c r="D90" s="1" t="s">
        <v>133</v>
      </c>
      <c r="E90" s="1">
        <v>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5">
      <c r="A91" s="1" t="s">
        <v>108</v>
      </c>
      <c r="B91" s="1" t="s">
        <v>109</v>
      </c>
      <c r="C91" s="1" t="s">
        <v>131</v>
      </c>
      <c r="D91" s="1" t="s">
        <v>134</v>
      </c>
      <c r="E91" s="1">
        <v>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5">
      <c r="A92" s="1" t="s">
        <v>108</v>
      </c>
      <c r="B92" s="1" t="s">
        <v>109</v>
      </c>
      <c r="C92" s="1" t="s">
        <v>131</v>
      </c>
      <c r="D92" s="1" t="s">
        <v>81</v>
      </c>
      <c r="E92" s="1">
        <v>76318.399999999994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5">
      <c r="A93" s="1" t="s">
        <v>108</v>
      </c>
      <c r="B93" s="1" t="s">
        <v>109</v>
      </c>
      <c r="C93" s="1" t="s">
        <v>131</v>
      </c>
      <c r="D93" s="1" t="s">
        <v>135</v>
      </c>
      <c r="E93" s="1">
        <v>705945.2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5">
      <c r="A94" s="1" t="s">
        <v>108</v>
      </c>
      <c r="B94" s="1" t="s">
        <v>109</v>
      </c>
      <c r="C94" s="1" t="s">
        <v>131</v>
      </c>
      <c r="D94" s="1" t="s">
        <v>136</v>
      </c>
      <c r="E94" s="1">
        <v>629626.79999999993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5">
      <c r="A95" s="1" t="s">
        <v>108</v>
      </c>
      <c r="B95" s="1" t="s">
        <v>109</v>
      </c>
      <c r="C95" s="1" t="s">
        <v>131</v>
      </c>
      <c r="D95" s="1" t="s">
        <v>82</v>
      </c>
      <c r="E95" s="1">
        <v>56362.2304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5">
      <c r="A96" s="1" t="s">
        <v>108</v>
      </c>
      <c r="B96" s="1" t="s">
        <v>109</v>
      </c>
      <c r="C96" s="1" t="s">
        <v>131</v>
      </c>
      <c r="D96" s="1" t="s">
        <v>83</v>
      </c>
      <c r="E96" s="1">
        <v>-19956.16959999999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5">
      <c r="A97" s="1" t="s">
        <v>114</v>
      </c>
      <c r="B97" s="1" t="s">
        <v>115</v>
      </c>
      <c r="C97" s="1" t="s">
        <v>131</v>
      </c>
      <c r="D97" s="1" t="s">
        <v>79</v>
      </c>
      <c r="E97" s="1">
        <v>51066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5">
      <c r="A98" s="1" t="s">
        <v>114</v>
      </c>
      <c r="B98" s="1" t="s">
        <v>115</v>
      </c>
      <c r="C98" s="1" t="s">
        <v>131</v>
      </c>
      <c r="D98" s="1" t="s">
        <v>80</v>
      </c>
      <c r="E98" s="1">
        <v>11088.982400000001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5">
      <c r="A99" s="1" t="s">
        <v>114</v>
      </c>
      <c r="B99" s="1" t="s">
        <v>115</v>
      </c>
      <c r="C99" s="1" t="s">
        <v>131</v>
      </c>
      <c r="D99" s="1" t="s">
        <v>132</v>
      </c>
      <c r="E99" s="1">
        <v>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5">
      <c r="A100" s="1" t="s">
        <v>114</v>
      </c>
      <c r="B100" s="1" t="s">
        <v>115</v>
      </c>
      <c r="C100" s="1" t="s">
        <v>131</v>
      </c>
      <c r="D100" s="1" t="s">
        <v>133</v>
      </c>
      <c r="E100" s="1">
        <v>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5">
      <c r="A101" s="1" t="s">
        <v>114</v>
      </c>
      <c r="B101" s="1" t="s">
        <v>115</v>
      </c>
      <c r="C101" s="1" t="s">
        <v>131</v>
      </c>
      <c r="D101" s="1" t="s">
        <v>134</v>
      </c>
      <c r="E101" s="1">
        <v>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5">
      <c r="A102" s="1" t="s">
        <v>114</v>
      </c>
      <c r="B102" s="1" t="s">
        <v>115</v>
      </c>
      <c r="C102" s="1" t="s">
        <v>131</v>
      </c>
      <c r="D102" s="1" t="s">
        <v>81</v>
      </c>
      <c r="E102" s="1">
        <v>209875.6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5">
      <c r="A103" s="1" t="s">
        <v>114</v>
      </c>
      <c r="B103" s="1" t="s">
        <v>115</v>
      </c>
      <c r="C103" s="1" t="s">
        <v>131</v>
      </c>
      <c r="D103" s="1" t="s">
        <v>135</v>
      </c>
      <c r="E103" s="1">
        <v>705945.2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5">
      <c r="A104" s="1" t="s">
        <v>114</v>
      </c>
      <c r="B104" s="1" t="s">
        <v>115</v>
      </c>
      <c r="C104" s="1" t="s">
        <v>131</v>
      </c>
      <c r="D104" s="1" t="s">
        <v>136</v>
      </c>
      <c r="E104" s="1">
        <v>496069.6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5">
      <c r="A105" s="1" t="s">
        <v>114</v>
      </c>
      <c r="B105" s="1" t="s">
        <v>115</v>
      </c>
      <c r="C105" s="1" t="s">
        <v>131</v>
      </c>
      <c r="D105" s="1" t="s">
        <v>82</v>
      </c>
      <c r="E105" s="1">
        <v>62154.982400000001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5">
      <c r="A106" s="1" t="s">
        <v>114</v>
      </c>
      <c r="B106" s="1" t="s">
        <v>115</v>
      </c>
      <c r="C106" s="1" t="s">
        <v>131</v>
      </c>
      <c r="D106" s="1" t="s">
        <v>83</v>
      </c>
      <c r="E106" s="1">
        <v>-147720.6176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5">
      <c r="A107" s="1" t="s">
        <v>116</v>
      </c>
      <c r="B107" s="1" t="s">
        <v>117</v>
      </c>
      <c r="C107" s="1" t="s">
        <v>131</v>
      </c>
      <c r="D107" s="1" t="s">
        <v>79</v>
      </c>
      <c r="E107" s="1">
        <v>51066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5">
      <c r="A108" s="1" t="s">
        <v>116</v>
      </c>
      <c r="B108" s="1" t="s">
        <v>117</v>
      </c>
      <c r="C108" s="1" t="s">
        <v>131</v>
      </c>
      <c r="D108" s="1" t="s">
        <v>80</v>
      </c>
      <c r="E108" s="1">
        <v>11088.982400000001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5">
      <c r="A109" s="1" t="s">
        <v>116</v>
      </c>
      <c r="B109" s="1" t="s">
        <v>117</v>
      </c>
      <c r="C109" s="1" t="s">
        <v>131</v>
      </c>
      <c r="D109" s="1" t="s">
        <v>132</v>
      </c>
      <c r="E109" s="1">
        <v>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5">
      <c r="A110" s="1" t="s">
        <v>116</v>
      </c>
      <c r="B110" s="1" t="s">
        <v>117</v>
      </c>
      <c r="C110" s="1" t="s">
        <v>131</v>
      </c>
      <c r="D110" s="1" t="s">
        <v>133</v>
      </c>
      <c r="E110" s="1">
        <v>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5">
      <c r="A111" s="1" t="s">
        <v>116</v>
      </c>
      <c r="B111" s="1" t="s">
        <v>117</v>
      </c>
      <c r="C111" s="1" t="s">
        <v>131</v>
      </c>
      <c r="D111" s="1" t="s">
        <v>134</v>
      </c>
      <c r="E111" s="1">
        <v>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5">
      <c r="A112" s="1" t="s">
        <v>116</v>
      </c>
      <c r="B112" s="1" t="s">
        <v>117</v>
      </c>
      <c r="C112" s="1" t="s">
        <v>131</v>
      </c>
      <c r="D112" s="1" t="s">
        <v>81</v>
      </c>
      <c r="E112" s="1">
        <v>209875.6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5">
      <c r="A113" s="1" t="s">
        <v>116</v>
      </c>
      <c r="B113" s="1" t="s">
        <v>117</v>
      </c>
      <c r="C113" s="1" t="s">
        <v>131</v>
      </c>
      <c r="D113" s="1" t="s">
        <v>135</v>
      </c>
      <c r="E113" s="1">
        <v>705945.2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5">
      <c r="A114" s="1" t="s">
        <v>116</v>
      </c>
      <c r="B114" s="1" t="s">
        <v>117</v>
      </c>
      <c r="C114" s="1" t="s">
        <v>131</v>
      </c>
      <c r="D114" s="1" t="s">
        <v>136</v>
      </c>
      <c r="E114" s="1">
        <v>496069.6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5">
      <c r="A115" s="1" t="s">
        <v>116</v>
      </c>
      <c r="B115" s="1" t="s">
        <v>117</v>
      </c>
      <c r="C115" s="1" t="s">
        <v>131</v>
      </c>
      <c r="D115" s="1" t="s">
        <v>82</v>
      </c>
      <c r="E115" s="1">
        <v>62154.982400000001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5">
      <c r="A116" s="1" t="s">
        <v>116</v>
      </c>
      <c r="B116" s="1" t="s">
        <v>117</v>
      </c>
      <c r="C116" s="1" t="s">
        <v>131</v>
      </c>
      <c r="D116" s="1" t="s">
        <v>83</v>
      </c>
      <c r="E116" s="1">
        <v>-147720.6176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5">
      <c r="A117" s="1" t="s">
        <v>118</v>
      </c>
      <c r="B117" s="1" t="s">
        <v>119</v>
      </c>
      <c r="C117" s="1" t="s">
        <v>131</v>
      </c>
      <c r="D117" s="1" t="s">
        <v>79</v>
      </c>
      <c r="E117" s="1">
        <v>51066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5">
      <c r="A118" s="1" t="s">
        <v>118</v>
      </c>
      <c r="B118" s="1" t="s">
        <v>119</v>
      </c>
      <c r="C118" s="1" t="s">
        <v>131</v>
      </c>
      <c r="D118" s="1" t="s">
        <v>80</v>
      </c>
      <c r="E118" s="1">
        <v>10261.446400000001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5">
      <c r="A119" s="1" t="s">
        <v>118</v>
      </c>
      <c r="B119" s="1" t="s">
        <v>119</v>
      </c>
      <c r="C119" s="1" t="s">
        <v>131</v>
      </c>
      <c r="D119" s="1" t="s">
        <v>132</v>
      </c>
      <c r="E119" s="1">
        <v>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5">
      <c r="A120" s="1" t="s">
        <v>118</v>
      </c>
      <c r="B120" s="1" t="s">
        <v>119</v>
      </c>
      <c r="C120" s="1" t="s">
        <v>131</v>
      </c>
      <c r="D120" s="1" t="s">
        <v>133</v>
      </c>
      <c r="E120" s="1">
        <v>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5">
      <c r="A121" s="1" t="s">
        <v>118</v>
      </c>
      <c r="B121" s="1" t="s">
        <v>119</v>
      </c>
      <c r="C121" s="1" t="s">
        <v>131</v>
      </c>
      <c r="D121" s="1" t="s">
        <v>134</v>
      </c>
      <c r="E121" s="1">
        <v>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5">
      <c r="A122" s="1" t="s">
        <v>118</v>
      </c>
      <c r="B122" s="1" t="s">
        <v>119</v>
      </c>
      <c r="C122" s="1" t="s">
        <v>131</v>
      </c>
      <c r="D122" s="1" t="s">
        <v>81</v>
      </c>
      <c r="E122" s="1">
        <v>228955.2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5">
      <c r="A123" s="1" t="s">
        <v>118</v>
      </c>
      <c r="B123" s="1" t="s">
        <v>119</v>
      </c>
      <c r="C123" s="1" t="s">
        <v>131</v>
      </c>
      <c r="D123" s="1" t="s">
        <v>135</v>
      </c>
      <c r="E123" s="1">
        <v>705945.2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5">
      <c r="A124" s="1" t="s">
        <v>118</v>
      </c>
      <c r="B124" s="1" t="s">
        <v>119</v>
      </c>
      <c r="C124" s="1" t="s">
        <v>131</v>
      </c>
      <c r="D124" s="1" t="s">
        <v>136</v>
      </c>
      <c r="E124" s="1">
        <v>476989.99999999988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5">
      <c r="A125" s="1" t="s">
        <v>118</v>
      </c>
      <c r="B125" s="1" t="s">
        <v>119</v>
      </c>
      <c r="C125" s="1" t="s">
        <v>131</v>
      </c>
      <c r="D125" s="1" t="s">
        <v>82</v>
      </c>
      <c r="E125" s="1">
        <v>61327.446400000001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5">
      <c r="A126" s="1" t="s">
        <v>118</v>
      </c>
      <c r="B126" s="1" t="s">
        <v>119</v>
      </c>
      <c r="C126" s="1" t="s">
        <v>131</v>
      </c>
      <c r="D126" s="1" t="s">
        <v>83</v>
      </c>
      <c r="E126" s="1">
        <v>-167627.7536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5">
      <c r="A129" s="4" t="s">
        <v>137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ht="43.5" x14ac:dyDescent="0.35">
      <c r="A130" s="2" t="s">
        <v>60</v>
      </c>
      <c r="B130" s="2" t="s">
        <v>61</v>
      </c>
      <c r="C130" s="2" t="s">
        <v>138</v>
      </c>
      <c r="D130" s="2" t="s">
        <v>84</v>
      </c>
      <c r="E130" s="2" t="s">
        <v>88</v>
      </c>
      <c r="F130" s="2" t="s">
        <v>89</v>
      </c>
      <c r="G130" s="2" t="s">
        <v>90</v>
      </c>
      <c r="H130" s="2" t="s">
        <v>95</v>
      </c>
      <c r="I130" s="2" t="s">
        <v>94</v>
      </c>
      <c r="J130" s="2" t="s">
        <v>97</v>
      </c>
      <c r="K130" s="2" t="s">
        <v>98</v>
      </c>
      <c r="L130" s="2" t="s">
        <v>99</v>
      </c>
      <c r="M130" s="2" t="s">
        <v>100</v>
      </c>
      <c r="N130" s="2" t="s">
        <v>101</v>
      </c>
      <c r="O130" s="2" t="s">
        <v>102</v>
      </c>
      <c r="P130" s="2" t="s">
        <v>103</v>
      </c>
      <c r="Q130" s="2" t="s">
        <v>104</v>
      </c>
      <c r="R130" s="2" t="s">
        <v>105</v>
      </c>
      <c r="S130" s="2" t="s">
        <v>107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 ht="43.5" x14ac:dyDescent="0.35">
      <c r="A131" s="1" t="s">
        <v>108</v>
      </c>
      <c r="B131" s="1" t="s">
        <v>109</v>
      </c>
      <c r="C131" s="1" t="s">
        <v>139</v>
      </c>
      <c r="D131" s="1">
        <v>4</v>
      </c>
      <c r="E131" s="1">
        <v>6.5860000000000003</v>
      </c>
      <c r="F131" s="1">
        <v>0.1101079452054793</v>
      </c>
      <c r="G131" s="1">
        <v>5.1699359999999999</v>
      </c>
      <c r="H131" s="1">
        <v>5.2800439452054793</v>
      </c>
      <c r="I131" s="1">
        <v>5.8358439452054798</v>
      </c>
      <c r="J131" s="1">
        <v>-3030.089523231095</v>
      </c>
      <c r="K131" s="1">
        <v>-3779.546118763104</v>
      </c>
      <c r="L131" s="1">
        <v>-3419.5858880694141</v>
      </c>
      <c r="M131" s="1">
        <v>316326.16960000002</v>
      </c>
      <c r="N131" s="1">
        <v>513906.16960000002</v>
      </c>
      <c r="O131" s="1">
        <v>257558.1471342466</v>
      </c>
      <c r="P131" s="1">
        <v>415959.46549041092</v>
      </c>
      <c r="Q131" s="1">
        <v>282569.14713424648</v>
      </c>
      <c r="R131" s="1">
        <v>457644.46549041092</v>
      </c>
      <c r="S131" s="1" t="s">
        <v>140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ht="43.5" x14ac:dyDescent="0.35">
      <c r="A132" s="1" t="s">
        <v>108</v>
      </c>
      <c r="B132" s="1" t="s">
        <v>109</v>
      </c>
      <c r="C132" s="1" t="s">
        <v>141</v>
      </c>
      <c r="D132" s="1">
        <v>4</v>
      </c>
      <c r="E132" s="1">
        <v>6.5860000000000003</v>
      </c>
      <c r="F132" s="1">
        <v>3.7079452054793178E-3</v>
      </c>
      <c r="G132" s="1">
        <v>5.1699359999999999</v>
      </c>
      <c r="H132" s="1">
        <v>5.1736439452054794</v>
      </c>
      <c r="I132" s="1">
        <v>5.7294439452054799</v>
      </c>
      <c r="J132" s="1">
        <v>-3030.089523231095</v>
      </c>
      <c r="K132" s="1">
        <v>-3857.2754158108969</v>
      </c>
      <c r="L132" s="1">
        <v>-3483.0901202375389</v>
      </c>
      <c r="M132" s="1">
        <v>316326.16960000002</v>
      </c>
      <c r="N132" s="1">
        <v>513906.16960000002</v>
      </c>
      <c r="O132" s="1">
        <v>252770.1471342466</v>
      </c>
      <c r="P132" s="1">
        <v>407979.46549041092</v>
      </c>
      <c r="Q132" s="1">
        <v>277781.1471342466</v>
      </c>
      <c r="R132" s="1">
        <v>449664.46549041098</v>
      </c>
      <c r="S132" s="1" t="s">
        <v>140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ht="29" x14ac:dyDescent="0.35">
      <c r="A133" s="1" t="s">
        <v>108</v>
      </c>
      <c r="B133" s="1" t="s">
        <v>109</v>
      </c>
      <c r="C133" s="1" t="s">
        <v>142</v>
      </c>
      <c r="D133" s="1">
        <v>4</v>
      </c>
      <c r="E133" s="1">
        <v>0.66600000000000004</v>
      </c>
      <c r="F133" s="1">
        <v>0.1101079452054793</v>
      </c>
      <c r="G133" s="1">
        <v>5.1699359999999999</v>
      </c>
      <c r="H133" s="1">
        <v>5.2800439452054793</v>
      </c>
      <c r="I133" s="1">
        <v>5.8358439452054798</v>
      </c>
      <c r="J133" s="1">
        <v>-29964.218618618612</v>
      </c>
      <c r="K133" s="1">
        <v>-3779.546118763104</v>
      </c>
      <c r="L133" s="1">
        <v>-3419.5858880694141</v>
      </c>
      <c r="M133" s="1">
        <v>49926.169599999987</v>
      </c>
      <c r="N133" s="1">
        <v>69906.169599999994</v>
      </c>
      <c r="O133" s="1">
        <v>257558.1471342466</v>
      </c>
      <c r="P133" s="1">
        <v>415959.46549041092</v>
      </c>
      <c r="Q133" s="1">
        <v>282569.14713424648</v>
      </c>
      <c r="R133" s="1">
        <v>457644.46549041092</v>
      </c>
      <c r="S133" s="1" t="s">
        <v>140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ht="29" x14ac:dyDescent="0.35">
      <c r="A134" s="1" t="s">
        <v>108</v>
      </c>
      <c r="B134" s="1" t="s">
        <v>109</v>
      </c>
      <c r="C134" s="1" t="s">
        <v>143</v>
      </c>
      <c r="D134" s="1">
        <v>4</v>
      </c>
      <c r="E134" s="1">
        <v>3.6259999999999999</v>
      </c>
      <c r="F134" s="1">
        <v>0.1101079452054793</v>
      </c>
      <c r="G134" s="1">
        <v>2.5849679999999999</v>
      </c>
      <c r="H134" s="1">
        <v>2.6950759452054789</v>
      </c>
      <c r="I134" s="1">
        <v>3.250875945205479</v>
      </c>
      <c r="J134" s="1">
        <v>-5503.6319911748469</v>
      </c>
      <c r="K134" s="1">
        <v>-7404.6780149189772</v>
      </c>
      <c r="L134" s="1">
        <v>-6138.705363221301</v>
      </c>
      <c r="M134" s="1">
        <v>183126.16959999999</v>
      </c>
      <c r="N134" s="1">
        <v>291906.16960000002</v>
      </c>
      <c r="O134" s="1">
        <v>141234.5871342466</v>
      </c>
      <c r="P134" s="1">
        <v>222086.86549041091</v>
      </c>
      <c r="Q134" s="1">
        <v>166245.5871342466</v>
      </c>
      <c r="R134" s="1">
        <v>263771.86549041088</v>
      </c>
      <c r="S134" s="1" t="s">
        <v>140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ht="29" x14ac:dyDescent="0.35">
      <c r="A135" s="1" t="s">
        <v>108</v>
      </c>
      <c r="B135" s="1" t="s">
        <v>109</v>
      </c>
      <c r="C135" s="1" t="s">
        <v>144</v>
      </c>
      <c r="D135" s="1">
        <v>4</v>
      </c>
      <c r="E135" s="1">
        <v>9.5459999999999994</v>
      </c>
      <c r="F135" s="1">
        <v>0.1101079452054793</v>
      </c>
      <c r="G135" s="1">
        <v>7.7549039999999989</v>
      </c>
      <c r="H135" s="1">
        <v>7.8650119452054783</v>
      </c>
      <c r="I135" s="1">
        <v>8.420811945205477</v>
      </c>
      <c r="J135" s="1">
        <v>-2090.52688036874</v>
      </c>
      <c r="K135" s="1">
        <v>-2537.3349384631638</v>
      </c>
      <c r="L135" s="1">
        <v>-2369.8628742519718</v>
      </c>
      <c r="M135" s="1">
        <v>449526.16960000002</v>
      </c>
      <c r="N135" s="1">
        <v>735906.16960000002</v>
      </c>
      <c r="O135" s="1">
        <v>373881.70713424648</v>
      </c>
      <c r="P135" s="1">
        <v>609832.0654904109</v>
      </c>
      <c r="Q135" s="1">
        <v>398892.70713424648</v>
      </c>
      <c r="R135" s="1">
        <v>651517.06549041078</v>
      </c>
      <c r="S135" s="1" t="s">
        <v>140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ht="29" x14ac:dyDescent="0.35">
      <c r="A136" s="1" t="s">
        <v>108</v>
      </c>
      <c r="B136" s="1" t="s">
        <v>109</v>
      </c>
      <c r="C136" s="1" t="s">
        <v>145</v>
      </c>
      <c r="D136" s="1">
        <v>4</v>
      </c>
      <c r="E136" s="1">
        <v>3.6259999999999999</v>
      </c>
      <c r="F136" s="1">
        <v>0.1101079452054793</v>
      </c>
      <c r="G136" s="1">
        <v>2.5849679999999999</v>
      </c>
      <c r="H136" s="1">
        <v>2.6950759452054789</v>
      </c>
      <c r="I136" s="1">
        <v>3.250875945205479</v>
      </c>
      <c r="J136" s="1">
        <v>-5503.6319911748469</v>
      </c>
      <c r="K136" s="1">
        <v>-7404.6780149189772</v>
      </c>
      <c r="L136" s="1">
        <v>-6138.705363221301</v>
      </c>
      <c r="M136" s="1">
        <v>183126.16959999999</v>
      </c>
      <c r="N136" s="1">
        <v>291906.16960000002</v>
      </c>
      <c r="O136" s="1">
        <v>141234.5871342466</v>
      </c>
      <c r="P136" s="1">
        <v>222086.86549041091</v>
      </c>
      <c r="Q136" s="1">
        <v>166245.5871342466</v>
      </c>
      <c r="R136" s="1">
        <v>263771.86549041088</v>
      </c>
      <c r="S136" s="1" t="s">
        <v>140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ht="29" x14ac:dyDescent="0.35">
      <c r="A137" s="1" t="s">
        <v>108</v>
      </c>
      <c r="B137" s="1" t="s">
        <v>109</v>
      </c>
      <c r="C137" s="1" t="s">
        <v>146</v>
      </c>
      <c r="D137" s="1">
        <v>4</v>
      </c>
      <c r="E137" s="1">
        <v>9.5460000000000012</v>
      </c>
      <c r="F137" s="1">
        <v>0.1101079452054793</v>
      </c>
      <c r="G137" s="1">
        <v>7.7549040000000007</v>
      </c>
      <c r="H137" s="1">
        <v>7.8650119452054801</v>
      </c>
      <c r="I137" s="1">
        <v>8.4208119452054788</v>
      </c>
      <c r="J137" s="1">
        <v>-2090.52688036874</v>
      </c>
      <c r="K137" s="1">
        <v>-2537.3349384631638</v>
      </c>
      <c r="L137" s="1">
        <v>-2369.8628742519718</v>
      </c>
      <c r="M137" s="1">
        <v>449526.16960000002</v>
      </c>
      <c r="N137" s="1">
        <v>735906.16960000014</v>
      </c>
      <c r="O137" s="1">
        <v>373881.70713424659</v>
      </c>
      <c r="P137" s="1">
        <v>609832.06549041101</v>
      </c>
      <c r="Q137" s="1">
        <v>398892.70713424659</v>
      </c>
      <c r="R137" s="1">
        <v>651517.0654904109</v>
      </c>
      <c r="S137" s="1" t="s">
        <v>140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ht="43.5" x14ac:dyDescent="0.35">
      <c r="A138" s="1" t="s">
        <v>114</v>
      </c>
      <c r="B138" s="1" t="s">
        <v>115</v>
      </c>
      <c r="C138" s="1" t="s">
        <v>139</v>
      </c>
      <c r="D138" s="1">
        <v>11</v>
      </c>
      <c r="E138" s="1">
        <v>18.111499999999999</v>
      </c>
      <c r="F138" s="1">
        <v>0.30277383561643789</v>
      </c>
      <c r="G138" s="1">
        <v>14.217324</v>
      </c>
      <c r="H138" s="1">
        <v>14.52009783561644</v>
      </c>
      <c r="I138" s="1">
        <v>16.048547835616439</v>
      </c>
      <c r="J138" s="1">
        <v>-8156.1779863622542</v>
      </c>
      <c r="K138" s="1">
        <v>-10173.52770431444</v>
      </c>
      <c r="L138" s="1">
        <v>-9204.609607865239</v>
      </c>
      <c r="M138" s="1">
        <v>962738.1176</v>
      </c>
      <c r="N138" s="1">
        <v>1506083.1176</v>
      </c>
      <c r="O138" s="1">
        <v>801125.02020273963</v>
      </c>
      <c r="P138" s="1">
        <v>1236727.9552712331</v>
      </c>
      <c r="Q138" s="1">
        <v>869905.27020273975</v>
      </c>
      <c r="R138" s="1">
        <v>1351361.7052712331</v>
      </c>
      <c r="S138" s="1" t="s">
        <v>140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ht="43.5" x14ac:dyDescent="0.35">
      <c r="A139" s="1" t="s">
        <v>114</v>
      </c>
      <c r="B139" s="1" t="s">
        <v>115</v>
      </c>
      <c r="C139" s="1" t="s">
        <v>141</v>
      </c>
      <c r="D139" s="1">
        <v>11</v>
      </c>
      <c r="E139" s="1">
        <v>18.111499999999999</v>
      </c>
      <c r="F139" s="1">
        <v>7.9998835616437947E-2</v>
      </c>
      <c r="G139" s="1">
        <v>14.217324</v>
      </c>
      <c r="H139" s="1">
        <v>14.297322835616439</v>
      </c>
      <c r="I139" s="1">
        <v>15.825772835616441</v>
      </c>
      <c r="J139" s="1">
        <v>-8156.1779863622542</v>
      </c>
      <c r="K139" s="1">
        <v>-10332.047425830609</v>
      </c>
      <c r="L139" s="1">
        <v>-9334.1803357337285</v>
      </c>
      <c r="M139" s="1">
        <v>962738.1176</v>
      </c>
      <c r="N139" s="1">
        <v>1506083.1176</v>
      </c>
      <c r="O139" s="1">
        <v>791100.14520273975</v>
      </c>
      <c r="P139" s="1">
        <v>1220019.8302712331</v>
      </c>
      <c r="Q139" s="1">
        <v>859880.39520273975</v>
      </c>
      <c r="R139" s="1">
        <v>1334653.5802712331</v>
      </c>
      <c r="S139" s="1" t="s">
        <v>140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ht="29" x14ac:dyDescent="0.35">
      <c r="A140" s="1" t="s">
        <v>114</v>
      </c>
      <c r="B140" s="1" t="s">
        <v>115</v>
      </c>
      <c r="C140" s="1" t="s">
        <v>142</v>
      </c>
      <c r="D140" s="1">
        <v>11</v>
      </c>
      <c r="E140" s="1">
        <v>1.8314999999999999</v>
      </c>
      <c r="F140" s="1">
        <v>0.30277383561643789</v>
      </c>
      <c r="G140" s="1">
        <v>14.217324</v>
      </c>
      <c r="H140" s="1">
        <v>14.52009783561644</v>
      </c>
      <c r="I140" s="1">
        <v>16.048547835616439</v>
      </c>
      <c r="J140" s="1">
        <v>-80655.537865137841</v>
      </c>
      <c r="K140" s="1">
        <v>-10173.52770431444</v>
      </c>
      <c r="L140" s="1">
        <v>-9204.609607865239</v>
      </c>
      <c r="M140" s="1">
        <v>230138.1176</v>
      </c>
      <c r="N140" s="1">
        <v>285083.1176</v>
      </c>
      <c r="O140" s="1">
        <v>801125.02020273963</v>
      </c>
      <c r="P140" s="1">
        <v>1236727.9552712331</v>
      </c>
      <c r="Q140" s="1">
        <v>869905.27020273975</v>
      </c>
      <c r="R140" s="1">
        <v>1351361.7052712331</v>
      </c>
      <c r="S140" s="1" t="s">
        <v>140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ht="29" x14ac:dyDescent="0.35">
      <c r="A141" s="1" t="s">
        <v>114</v>
      </c>
      <c r="B141" s="1" t="s">
        <v>115</v>
      </c>
      <c r="C141" s="1" t="s">
        <v>143</v>
      </c>
      <c r="D141" s="1">
        <v>11</v>
      </c>
      <c r="E141" s="1">
        <v>9.9714999999999989</v>
      </c>
      <c r="F141" s="1">
        <v>0.30277383561643789</v>
      </c>
      <c r="G141" s="1">
        <v>7.1086619999999998</v>
      </c>
      <c r="H141" s="1">
        <v>7.4114358356164383</v>
      </c>
      <c r="I141" s="1">
        <v>8.9398858356164386</v>
      </c>
      <c r="J141" s="1">
        <v>-14814.282465025321</v>
      </c>
      <c r="K141" s="1">
        <v>-19931.443903233019</v>
      </c>
      <c r="L141" s="1">
        <v>-16523.77002528177</v>
      </c>
      <c r="M141" s="1">
        <v>596438.11759999988</v>
      </c>
      <c r="N141" s="1">
        <v>895583.11759999988</v>
      </c>
      <c r="O141" s="1">
        <v>481235.23020273971</v>
      </c>
      <c r="P141" s="1">
        <v>703578.30527123285</v>
      </c>
      <c r="Q141" s="1">
        <v>550015.48020273971</v>
      </c>
      <c r="R141" s="1">
        <v>818212.05527123285</v>
      </c>
      <c r="S141" s="1" t="s">
        <v>140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ht="29" x14ac:dyDescent="0.35">
      <c r="A142" s="1" t="s">
        <v>114</v>
      </c>
      <c r="B142" s="1" t="s">
        <v>115</v>
      </c>
      <c r="C142" s="1" t="s">
        <v>144</v>
      </c>
      <c r="D142" s="1">
        <v>11</v>
      </c>
      <c r="E142" s="1">
        <v>26.2515</v>
      </c>
      <c r="F142" s="1">
        <v>0.30277383561643789</v>
      </c>
      <c r="G142" s="1">
        <v>21.325986</v>
      </c>
      <c r="H142" s="1">
        <v>21.628759835616439</v>
      </c>
      <c r="I142" s="1">
        <v>23.157209835616442</v>
      </c>
      <c r="J142" s="1">
        <v>-5627.1305487305472</v>
      </c>
      <c r="K142" s="1">
        <v>-6829.8237496144366</v>
      </c>
      <c r="L142" s="1">
        <v>-6379.0335126126256</v>
      </c>
      <c r="M142" s="1">
        <v>1329038.1176</v>
      </c>
      <c r="N142" s="1">
        <v>2116583.1176</v>
      </c>
      <c r="O142" s="1">
        <v>1121014.810202739</v>
      </c>
      <c r="P142" s="1">
        <v>1769877.605271233</v>
      </c>
      <c r="Q142" s="1">
        <v>1189795.0602027399</v>
      </c>
      <c r="R142" s="1">
        <v>1884511.355271233</v>
      </c>
      <c r="S142" s="1" t="s">
        <v>140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ht="29" x14ac:dyDescent="0.35">
      <c r="A143" s="1" t="s">
        <v>114</v>
      </c>
      <c r="B143" s="1" t="s">
        <v>115</v>
      </c>
      <c r="C143" s="1" t="s">
        <v>145</v>
      </c>
      <c r="D143" s="1">
        <v>11</v>
      </c>
      <c r="E143" s="1">
        <v>9.9714999999999989</v>
      </c>
      <c r="F143" s="1">
        <v>0.30277383561643789</v>
      </c>
      <c r="G143" s="1">
        <v>7.1086619999999998</v>
      </c>
      <c r="H143" s="1">
        <v>7.4114358356164383</v>
      </c>
      <c r="I143" s="1">
        <v>8.9398858356164386</v>
      </c>
      <c r="J143" s="1">
        <v>-14814.282465025321</v>
      </c>
      <c r="K143" s="1">
        <v>-19931.443903233019</v>
      </c>
      <c r="L143" s="1">
        <v>-16523.77002528177</v>
      </c>
      <c r="M143" s="1">
        <v>596438.11759999988</v>
      </c>
      <c r="N143" s="1">
        <v>895583.11759999988</v>
      </c>
      <c r="O143" s="1">
        <v>481235.23020273971</v>
      </c>
      <c r="P143" s="1">
        <v>703578.30527123285</v>
      </c>
      <c r="Q143" s="1">
        <v>550015.48020273971</v>
      </c>
      <c r="R143" s="1">
        <v>818212.05527123285</v>
      </c>
      <c r="S143" s="1" t="s">
        <v>140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ht="29" x14ac:dyDescent="0.35">
      <c r="A144" s="1" t="s">
        <v>114</v>
      </c>
      <c r="B144" s="1" t="s">
        <v>115</v>
      </c>
      <c r="C144" s="1" t="s">
        <v>146</v>
      </c>
      <c r="D144" s="1">
        <v>11</v>
      </c>
      <c r="E144" s="1">
        <v>26.2515</v>
      </c>
      <c r="F144" s="1">
        <v>0.30277383561643789</v>
      </c>
      <c r="G144" s="1">
        <v>21.325986</v>
      </c>
      <c r="H144" s="1">
        <v>21.628759835616439</v>
      </c>
      <c r="I144" s="1">
        <v>23.157209835616449</v>
      </c>
      <c r="J144" s="1">
        <v>-5627.1305487305472</v>
      </c>
      <c r="K144" s="1">
        <v>-6829.8237496144347</v>
      </c>
      <c r="L144" s="1">
        <v>-6379.0335126126238</v>
      </c>
      <c r="M144" s="1">
        <v>1329038.1176</v>
      </c>
      <c r="N144" s="1">
        <v>2116583.1176</v>
      </c>
      <c r="O144" s="1">
        <v>1121014.8102027399</v>
      </c>
      <c r="P144" s="1">
        <v>1769877.605271233</v>
      </c>
      <c r="Q144" s="1">
        <v>1189795.0602027399</v>
      </c>
      <c r="R144" s="1">
        <v>1884511.355271233</v>
      </c>
      <c r="S144" s="1" t="s">
        <v>140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ht="43.5" x14ac:dyDescent="0.35">
      <c r="A145" s="1" t="s">
        <v>116</v>
      </c>
      <c r="B145" s="1" t="s">
        <v>117</v>
      </c>
      <c r="C145" s="1" t="s">
        <v>139</v>
      </c>
      <c r="D145" s="1">
        <v>11</v>
      </c>
      <c r="E145" s="1">
        <v>18.111499999999999</v>
      </c>
      <c r="F145" s="1">
        <v>0.30277383561643789</v>
      </c>
      <c r="G145" s="1">
        <v>14.217324</v>
      </c>
      <c r="H145" s="1">
        <v>14.52009783561644</v>
      </c>
      <c r="I145" s="1">
        <v>16.048547835616439</v>
      </c>
      <c r="J145" s="1">
        <v>-8156.1779863622542</v>
      </c>
      <c r="K145" s="1">
        <v>-10173.52770431444</v>
      </c>
      <c r="L145" s="1">
        <v>-9204.609607865239</v>
      </c>
      <c r="M145" s="1">
        <v>962738.1176</v>
      </c>
      <c r="N145" s="1">
        <v>1506083.1176</v>
      </c>
      <c r="O145" s="1">
        <v>801125.02020273963</v>
      </c>
      <c r="P145" s="1">
        <v>1236727.9552712331</v>
      </c>
      <c r="Q145" s="1">
        <v>869905.27020273975</v>
      </c>
      <c r="R145" s="1">
        <v>1351361.7052712331</v>
      </c>
      <c r="S145" s="1" t="s">
        <v>140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ht="43.5" x14ac:dyDescent="0.35">
      <c r="A146" s="1" t="s">
        <v>116</v>
      </c>
      <c r="B146" s="1" t="s">
        <v>117</v>
      </c>
      <c r="C146" s="1" t="s">
        <v>141</v>
      </c>
      <c r="D146" s="1">
        <v>11</v>
      </c>
      <c r="E146" s="1">
        <v>18.111499999999999</v>
      </c>
      <c r="F146" s="1">
        <v>7.9998835616437947E-2</v>
      </c>
      <c r="G146" s="1">
        <v>14.217324</v>
      </c>
      <c r="H146" s="1">
        <v>14.297322835616439</v>
      </c>
      <c r="I146" s="1">
        <v>15.825772835616441</v>
      </c>
      <c r="J146" s="1">
        <v>-8156.1779863622542</v>
      </c>
      <c r="K146" s="1">
        <v>-10332.047425830609</v>
      </c>
      <c r="L146" s="1">
        <v>-9334.1803357337285</v>
      </c>
      <c r="M146" s="1">
        <v>962738.1176</v>
      </c>
      <c r="N146" s="1">
        <v>1506083.1176</v>
      </c>
      <c r="O146" s="1">
        <v>791100.14520273975</v>
      </c>
      <c r="P146" s="1">
        <v>1220019.8302712331</v>
      </c>
      <c r="Q146" s="1">
        <v>859880.39520273975</v>
      </c>
      <c r="R146" s="1">
        <v>1334653.5802712331</v>
      </c>
      <c r="S146" s="1" t="s">
        <v>140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ht="29" x14ac:dyDescent="0.35">
      <c r="A147" s="1" t="s">
        <v>116</v>
      </c>
      <c r="B147" s="1" t="s">
        <v>117</v>
      </c>
      <c r="C147" s="1" t="s">
        <v>142</v>
      </c>
      <c r="D147" s="1">
        <v>11</v>
      </c>
      <c r="E147" s="1">
        <v>1.8314999999999999</v>
      </c>
      <c r="F147" s="1">
        <v>0.30277383561643789</v>
      </c>
      <c r="G147" s="1">
        <v>14.217324</v>
      </c>
      <c r="H147" s="1">
        <v>14.52009783561644</v>
      </c>
      <c r="I147" s="1">
        <v>16.048547835616439</v>
      </c>
      <c r="J147" s="1">
        <v>-80655.537865137841</v>
      </c>
      <c r="K147" s="1">
        <v>-10173.52770431444</v>
      </c>
      <c r="L147" s="1">
        <v>-9204.609607865239</v>
      </c>
      <c r="M147" s="1">
        <v>230138.1176</v>
      </c>
      <c r="N147" s="1">
        <v>285083.1176</v>
      </c>
      <c r="O147" s="1">
        <v>801125.02020273963</v>
      </c>
      <c r="P147" s="1">
        <v>1236727.9552712331</v>
      </c>
      <c r="Q147" s="1">
        <v>869905.27020273975</v>
      </c>
      <c r="R147" s="1">
        <v>1351361.7052712331</v>
      </c>
      <c r="S147" s="1" t="s">
        <v>140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ht="29" x14ac:dyDescent="0.35">
      <c r="A148" s="1" t="s">
        <v>116</v>
      </c>
      <c r="B148" s="1" t="s">
        <v>117</v>
      </c>
      <c r="C148" s="1" t="s">
        <v>143</v>
      </c>
      <c r="D148" s="1">
        <v>11</v>
      </c>
      <c r="E148" s="1">
        <v>9.9714999999999989</v>
      </c>
      <c r="F148" s="1">
        <v>0.30277383561643789</v>
      </c>
      <c r="G148" s="1">
        <v>7.1086619999999998</v>
      </c>
      <c r="H148" s="1">
        <v>7.4114358356164383</v>
      </c>
      <c r="I148" s="1">
        <v>8.9398858356164386</v>
      </c>
      <c r="J148" s="1">
        <v>-14814.282465025321</v>
      </c>
      <c r="K148" s="1">
        <v>-19931.443903233019</v>
      </c>
      <c r="L148" s="1">
        <v>-16523.77002528177</v>
      </c>
      <c r="M148" s="1">
        <v>596438.11759999988</v>
      </c>
      <c r="N148" s="1">
        <v>895583.11759999988</v>
      </c>
      <c r="O148" s="1">
        <v>481235.23020273971</v>
      </c>
      <c r="P148" s="1">
        <v>703578.30527123285</v>
      </c>
      <c r="Q148" s="1">
        <v>550015.48020273971</v>
      </c>
      <c r="R148" s="1">
        <v>818212.05527123285</v>
      </c>
      <c r="S148" s="1" t="s">
        <v>140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ht="29" x14ac:dyDescent="0.35">
      <c r="A149" s="1" t="s">
        <v>116</v>
      </c>
      <c r="B149" s="1" t="s">
        <v>117</v>
      </c>
      <c r="C149" s="1" t="s">
        <v>144</v>
      </c>
      <c r="D149" s="1">
        <v>11</v>
      </c>
      <c r="E149" s="1">
        <v>26.2515</v>
      </c>
      <c r="F149" s="1">
        <v>0.30277383561643789</v>
      </c>
      <c r="G149" s="1">
        <v>21.325986</v>
      </c>
      <c r="H149" s="1">
        <v>21.628759835616439</v>
      </c>
      <c r="I149" s="1">
        <v>23.157209835616442</v>
      </c>
      <c r="J149" s="1">
        <v>-5627.1305487305472</v>
      </c>
      <c r="K149" s="1">
        <v>-6829.8237496144366</v>
      </c>
      <c r="L149" s="1">
        <v>-6379.0335126126256</v>
      </c>
      <c r="M149" s="1">
        <v>1329038.1176</v>
      </c>
      <c r="N149" s="1">
        <v>2116583.1176</v>
      </c>
      <c r="O149" s="1">
        <v>1121014.810202739</v>
      </c>
      <c r="P149" s="1">
        <v>1769877.605271233</v>
      </c>
      <c r="Q149" s="1">
        <v>1189795.0602027399</v>
      </c>
      <c r="R149" s="1">
        <v>1884511.355271233</v>
      </c>
      <c r="S149" s="1" t="s">
        <v>140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ht="29" x14ac:dyDescent="0.35">
      <c r="A150" s="1" t="s">
        <v>116</v>
      </c>
      <c r="B150" s="1" t="s">
        <v>117</v>
      </c>
      <c r="C150" s="1" t="s">
        <v>145</v>
      </c>
      <c r="D150" s="1">
        <v>11</v>
      </c>
      <c r="E150" s="1">
        <v>9.9714999999999989</v>
      </c>
      <c r="F150" s="1">
        <v>0.30277383561643789</v>
      </c>
      <c r="G150" s="1">
        <v>7.1086619999999998</v>
      </c>
      <c r="H150" s="1">
        <v>7.4114358356164383</v>
      </c>
      <c r="I150" s="1">
        <v>8.9398858356164386</v>
      </c>
      <c r="J150" s="1">
        <v>-14814.282465025321</v>
      </c>
      <c r="K150" s="1">
        <v>-19931.443903233019</v>
      </c>
      <c r="L150" s="1">
        <v>-16523.77002528177</v>
      </c>
      <c r="M150" s="1">
        <v>596438.11759999988</v>
      </c>
      <c r="N150" s="1">
        <v>895583.11759999988</v>
      </c>
      <c r="O150" s="1">
        <v>481235.23020273971</v>
      </c>
      <c r="P150" s="1">
        <v>703578.30527123285</v>
      </c>
      <c r="Q150" s="1">
        <v>550015.48020273971</v>
      </c>
      <c r="R150" s="1">
        <v>818212.05527123285</v>
      </c>
      <c r="S150" s="1" t="s">
        <v>140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ht="29" x14ac:dyDescent="0.35">
      <c r="A151" s="1" t="s">
        <v>116</v>
      </c>
      <c r="B151" s="1" t="s">
        <v>117</v>
      </c>
      <c r="C151" s="1" t="s">
        <v>146</v>
      </c>
      <c r="D151" s="1">
        <v>11</v>
      </c>
      <c r="E151" s="1">
        <v>26.2515</v>
      </c>
      <c r="F151" s="1">
        <v>0.30277383561643789</v>
      </c>
      <c r="G151" s="1">
        <v>21.325986</v>
      </c>
      <c r="H151" s="1">
        <v>21.628759835616439</v>
      </c>
      <c r="I151" s="1">
        <v>23.157209835616449</v>
      </c>
      <c r="J151" s="1">
        <v>-5627.1305487305472</v>
      </c>
      <c r="K151" s="1">
        <v>-6829.8237496144347</v>
      </c>
      <c r="L151" s="1">
        <v>-6379.0335126126238</v>
      </c>
      <c r="M151" s="1">
        <v>1329038.1176</v>
      </c>
      <c r="N151" s="1">
        <v>2116583.1176</v>
      </c>
      <c r="O151" s="1">
        <v>1121014.8102027399</v>
      </c>
      <c r="P151" s="1">
        <v>1769877.605271233</v>
      </c>
      <c r="Q151" s="1">
        <v>1189795.0602027399</v>
      </c>
      <c r="R151" s="1">
        <v>1884511.355271233</v>
      </c>
      <c r="S151" s="1" t="s">
        <v>140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ht="43.5" x14ac:dyDescent="0.35">
      <c r="A152" s="1" t="s">
        <v>118</v>
      </c>
      <c r="B152" s="1" t="s">
        <v>119</v>
      </c>
      <c r="C152" s="1" t="s">
        <v>139</v>
      </c>
      <c r="D152" s="1">
        <v>12</v>
      </c>
      <c r="E152" s="1">
        <v>19.757999999999999</v>
      </c>
      <c r="F152" s="1">
        <v>0.33032383561643791</v>
      </c>
      <c r="G152" s="1">
        <v>15.509808</v>
      </c>
      <c r="H152" s="1">
        <v>15.84013183561644</v>
      </c>
      <c r="I152" s="1">
        <v>17.50753183561644</v>
      </c>
      <c r="J152" s="1">
        <v>-8484.0446199008002</v>
      </c>
      <c r="K152" s="1">
        <v>-10582.47212457475</v>
      </c>
      <c r="L152" s="1">
        <v>-9574.6079558162819</v>
      </c>
      <c r="M152" s="1">
        <v>1056737.7535999999</v>
      </c>
      <c r="N152" s="1">
        <v>1649477.7535999999</v>
      </c>
      <c r="O152" s="1">
        <v>880433.6862027396</v>
      </c>
      <c r="P152" s="1">
        <v>1355637.6412712331</v>
      </c>
      <c r="Q152" s="1">
        <v>955466.68620273983</v>
      </c>
      <c r="R152" s="1">
        <v>1480692.6412712331</v>
      </c>
      <c r="S152" s="1" t="s">
        <v>140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ht="43.5" x14ac:dyDescent="0.35">
      <c r="A153" s="1" t="s">
        <v>118</v>
      </c>
      <c r="B153" s="1" t="s">
        <v>119</v>
      </c>
      <c r="C153" s="1" t="s">
        <v>141</v>
      </c>
      <c r="D153" s="1">
        <v>12</v>
      </c>
      <c r="E153" s="1">
        <v>19.757999999999999</v>
      </c>
      <c r="F153" s="1">
        <v>0.1241738356164379</v>
      </c>
      <c r="G153" s="1">
        <v>15.509808</v>
      </c>
      <c r="H153" s="1">
        <v>15.63398183561644</v>
      </c>
      <c r="I153" s="1">
        <v>17.301381835616439</v>
      </c>
      <c r="J153" s="1">
        <v>-8484.0446199008002</v>
      </c>
      <c r="K153" s="1">
        <v>-10722.01281557844</v>
      </c>
      <c r="L153" s="1">
        <v>-9688.691642821459</v>
      </c>
      <c r="M153" s="1">
        <v>1056737.7535999999</v>
      </c>
      <c r="N153" s="1">
        <v>1649477.7535999999</v>
      </c>
      <c r="O153" s="1">
        <v>871156.93620273983</v>
      </c>
      <c r="P153" s="1">
        <v>1340176.3912712331</v>
      </c>
      <c r="Q153" s="1">
        <v>946189.93620273983</v>
      </c>
      <c r="R153" s="1">
        <v>1465231.3912712331</v>
      </c>
      <c r="S153" s="1" t="s">
        <v>140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ht="29" x14ac:dyDescent="0.35">
      <c r="A154" s="1" t="s">
        <v>118</v>
      </c>
      <c r="B154" s="1" t="s">
        <v>119</v>
      </c>
      <c r="C154" s="1" t="s">
        <v>142</v>
      </c>
      <c r="D154" s="1">
        <v>12</v>
      </c>
      <c r="E154" s="1">
        <v>1.998</v>
      </c>
      <c r="F154" s="1">
        <v>0.33032383561643791</v>
      </c>
      <c r="G154" s="1">
        <v>15.509808</v>
      </c>
      <c r="H154" s="1">
        <v>15.84013183561644</v>
      </c>
      <c r="I154" s="1">
        <v>17.50753183561644</v>
      </c>
      <c r="J154" s="1">
        <v>-83897.774574574563</v>
      </c>
      <c r="K154" s="1">
        <v>-10582.47212457475</v>
      </c>
      <c r="L154" s="1">
        <v>-9574.6079558162819</v>
      </c>
      <c r="M154" s="1">
        <v>257537.7536</v>
      </c>
      <c r="N154" s="1">
        <v>317477.75360000011</v>
      </c>
      <c r="O154" s="1">
        <v>880433.6862027396</v>
      </c>
      <c r="P154" s="1">
        <v>1355637.6412712331</v>
      </c>
      <c r="Q154" s="1">
        <v>955466.68620273983</v>
      </c>
      <c r="R154" s="1">
        <v>1480692.6412712331</v>
      </c>
      <c r="S154" s="1" t="s">
        <v>140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ht="29" x14ac:dyDescent="0.35">
      <c r="A155" s="1" t="s">
        <v>118</v>
      </c>
      <c r="B155" s="1" t="s">
        <v>119</v>
      </c>
      <c r="C155" s="1" t="s">
        <v>143</v>
      </c>
      <c r="D155" s="1">
        <v>12</v>
      </c>
      <c r="E155" s="1">
        <v>10.878</v>
      </c>
      <c r="F155" s="1">
        <v>0.33032383561643791</v>
      </c>
      <c r="G155" s="1">
        <v>7.7549039999999998</v>
      </c>
      <c r="H155" s="1">
        <v>8.085227835616438</v>
      </c>
      <c r="I155" s="1">
        <v>9.7526278356164386</v>
      </c>
      <c r="J155" s="1">
        <v>-15409.795330023901</v>
      </c>
      <c r="K155" s="1">
        <v>-20732.59492596842</v>
      </c>
      <c r="L155" s="1">
        <v>-17187.957586961958</v>
      </c>
      <c r="M155" s="1">
        <v>657137.75359999994</v>
      </c>
      <c r="N155" s="1">
        <v>983477.75359999994</v>
      </c>
      <c r="O155" s="1">
        <v>531463.00620273966</v>
      </c>
      <c r="P155" s="1">
        <v>774019.84127123281</v>
      </c>
      <c r="Q155" s="1">
        <v>606496.00620273966</v>
      </c>
      <c r="R155" s="1">
        <v>899074.84127123281</v>
      </c>
      <c r="S155" s="1" t="s">
        <v>140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ht="29" x14ac:dyDescent="0.35">
      <c r="A156" s="1" t="s">
        <v>118</v>
      </c>
      <c r="B156" s="1" t="s">
        <v>119</v>
      </c>
      <c r="C156" s="1" t="s">
        <v>144</v>
      </c>
      <c r="D156" s="1">
        <v>12</v>
      </c>
      <c r="E156" s="1">
        <v>28.638000000000002</v>
      </c>
      <c r="F156" s="1">
        <v>0.33032383561643791</v>
      </c>
      <c r="G156" s="1">
        <v>23.264711999999999</v>
      </c>
      <c r="H156" s="1">
        <v>23.595035835616439</v>
      </c>
      <c r="I156" s="1">
        <v>25.26243583561644</v>
      </c>
      <c r="J156" s="1">
        <v>-5853.3331098540402</v>
      </c>
      <c r="K156" s="1">
        <v>-7104.3652897092798</v>
      </c>
      <c r="L156" s="1">
        <v>-6635.4548979662814</v>
      </c>
      <c r="M156" s="1">
        <v>1456337.7535999999</v>
      </c>
      <c r="N156" s="1">
        <v>2315477.7535999999</v>
      </c>
      <c r="O156" s="1">
        <v>1229404.36620274</v>
      </c>
      <c r="P156" s="1">
        <v>1937255.4412712329</v>
      </c>
      <c r="Q156" s="1">
        <v>1304437.36620274</v>
      </c>
      <c r="R156" s="1">
        <v>2062310.4412712329</v>
      </c>
      <c r="S156" s="1" t="s">
        <v>140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ht="29" x14ac:dyDescent="0.35">
      <c r="A157" s="1" t="s">
        <v>118</v>
      </c>
      <c r="B157" s="1" t="s">
        <v>119</v>
      </c>
      <c r="C157" s="1" t="s">
        <v>145</v>
      </c>
      <c r="D157" s="1">
        <v>12</v>
      </c>
      <c r="E157" s="1">
        <v>10.878</v>
      </c>
      <c r="F157" s="1">
        <v>0.33032383561643791</v>
      </c>
      <c r="G157" s="1">
        <v>7.7549039999999998</v>
      </c>
      <c r="H157" s="1">
        <v>8.085227835616438</v>
      </c>
      <c r="I157" s="1">
        <v>9.7526278356164386</v>
      </c>
      <c r="J157" s="1">
        <v>-15409.795330023901</v>
      </c>
      <c r="K157" s="1">
        <v>-20732.59492596842</v>
      </c>
      <c r="L157" s="1">
        <v>-17187.957586961958</v>
      </c>
      <c r="M157" s="1">
        <v>657137.75359999994</v>
      </c>
      <c r="N157" s="1">
        <v>983477.75359999994</v>
      </c>
      <c r="O157" s="1">
        <v>531463.00620273966</v>
      </c>
      <c r="P157" s="1">
        <v>774019.84127123281</v>
      </c>
      <c r="Q157" s="1">
        <v>606496.00620273966</v>
      </c>
      <c r="R157" s="1">
        <v>899074.84127123281</v>
      </c>
      <c r="S157" s="1" t="s">
        <v>140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ht="29" x14ac:dyDescent="0.35">
      <c r="A158" s="1" t="s">
        <v>118</v>
      </c>
      <c r="B158" s="1" t="s">
        <v>119</v>
      </c>
      <c r="C158" s="1" t="s">
        <v>146</v>
      </c>
      <c r="D158" s="1">
        <v>12</v>
      </c>
      <c r="E158" s="1">
        <v>28.638000000000002</v>
      </c>
      <c r="F158" s="1">
        <v>0.33032383561643791</v>
      </c>
      <c r="G158" s="1">
        <v>23.264711999999999</v>
      </c>
      <c r="H158" s="1">
        <v>23.595035835616439</v>
      </c>
      <c r="I158" s="1">
        <v>25.26243583561644</v>
      </c>
      <c r="J158" s="1">
        <v>-5853.3331098540393</v>
      </c>
      <c r="K158" s="1">
        <v>-7104.3652897092779</v>
      </c>
      <c r="L158" s="1">
        <v>-6635.4548979662804</v>
      </c>
      <c r="M158" s="1">
        <v>1456337.7535999999</v>
      </c>
      <c r="N158" s="1">
        <v>2315477.7535999999</v>
      </c>
      <c r="O158" s="1">
        <v>1229404.36620274</v>
      </c>
      <c r="P158" s="1">
        <v>1937255.4412712329</v>
      </c>
      <c r="Q158" s="1">
        <v>1304437.36620274</v>
      </c>
      <c r="R158" s="1">
        <v>2062310.4412712329</v>
      </c>
      <c r="S158" s="1" t="s">
        <v>140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5">
      <c r="A161" s="4" t="s">
        <v>147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ht="43.5" x14ac:dyDescent="0.35">
      <c r="A162" s="2" t="s">
        <v>60</v>
      </c>
      <c r="B162" s="2" t="s">
        <v>61</v>
      </c>
      <c r="C162" s="2" t="s">
        <v>84</v>
      </c>
      <c r="D162" s="2" t="s">
        <v>148</v>
      </c>
      <c r="E162" s="2" t="s">
        <v>149</v>
      </c>
      <c r="F162" s="2" t="s">
        <v>150</v>
      </c>
      <c r="G162" s="2" t="s">
        <v>151</v>
      </c>
      <c r="H162" s="2" t="s">
        <v>152</v>
      </c>
      <c r="I162" s="2" t="s">
        <v>89</v>
      </c>
      <c r="J162" s="2" t="s">
        <v>153</v>
      </c>
      <c r="K162" s="2" t="s">
        <v>154</v>
      </c>
      <c r="L162" s="2" t="s">
        <v>155</v>
      </c>
      <c r="M162" s="2" t="s">
        <v>156</v>
      </c>
      <c r="N162" s="2" t="s">
        <v>157</v>
      </c>
      <c r="O162" s="2" t="s">
        <v>158</v>
      </c>
      <c r="P162" s="2" t="s">
        <v>99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 x14ac:dyDescent="0.35">
      <c r="A163" s="1" t="s">
        <v>108</v>
      </c>
      <c r="B163" s="1" t="s">
        <v>109</v>
      </c>
      <c r="C163" s="1">
        <v>4</v>
      </c>
      <c r="D163" s="1">
        <v>2.754999999999996E-2</v>
      </c>
      <c r="E163" s="1">
        <v>0.16650000000000001</v>
      </c>
      <c r="F163" s="1">
        <v>0.16650000000000001</v>
      </c>
      <c r="G163" s="1">
        <v>1.48</v>
      </c>
      <c r="H163" s="1">
        <v>1.292484</v>
      </c>
      <c r="I163" s="1">
        <v>0.1101079452054793</v>
      </c>
      <c r="J163" s="1">
        <v>5.2800439452054793</v>
      </c>
      <c r="K163" s="1">
        <v>5.8358439452054798</v>
      </c>
      <c r="L163" s="1">
        <v>6.5860000000000003</v>
      </c>
      <c r="M163" s="1">
        <v>59.814030565273512</v>
      </c>
      <c r="N163" s="1">
        <v>1.247338103308854</v>
      </c>
      <c r="O163" s="1">
        <v>1.128542857183634</v>
      </c>
      <c r="P163" s="1">
        <v>-3419.5858880694141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5">
      <c r="A164" s="1" t="s">
        <v>114</v>
      </c>
      <c r="B164" s="1" t="s">
        <v>115</v>
      </c>
      <c r="C164" s="1">
        <v>11</v>
      </c>
      <c r="D164" s="1">
        <v>2.754999999999996E-2</v>
      </c>
      <c r="E164" s="1">
        <v>0.16650000000000001</v>
      </c>
      <c r="F164" s="1">
        <v>0.16650000000000001</v>
      </c>
      <c r="G164" s="1">
        <v>1.48</v>
      </c>
      <c r="H164" s="1">
        <v>1.292484</v>
      </c>
      <c r="I164" s="1">
        <v>0.30277383561643789</v>
      </c>
      <c r="J164" s="1">
        <v>14.52009783561644</v>
      </c>
      <c r="K164" s="1">
        <v>16.048547835616439</v>
      </c>
      <c r="L164" s="1">
        <v>18.111499999999999</v>
      </c>
      <c r="M164" s="1">
        <v>59.818577001957777</v>
      </c>
      <c r="N164" s="1">
        <v>1.247340080283357</v>
      </c>
      <c r="O164" s="1">
        <v>1.1285444755197891</v>
      </c>
      <c r="P164" s="1">
        <v>-9204.609607865239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5">
      <c r="A165" s="1" t="s">
        <v>116</v>
      </c>
      <c r="B165" s="1" t="s">
        <v>117</v>
      </c>
      <c r="C165" s="1">
        <v>11</v>
      </c>
      <c r="D165" s="1">
        <v>2.754999999999996E-2</v>
      </c>
      <c r="E165" s="1">
        <v>0.16650000000000001</v>
      </c>
      <c r="F165" s="1">
        <v>0.16650000000000001</v>
      </c>
      <c r="G165" s="1">
        <v>1.48</v>
      </c>
      <c r="H165" s="1">
        <v>1.292484</v>
      </c>
      <c r="I165" s="1">
        <v>0.30277383561643789</v>
      </c>
      <c r="J165" s="1">
        <v>14.52009783561644</v>
      </c>
      <c r="K165" s="1">
        <v>16.048547835616439</v>
      </c>
      <c r="L165" s="1">
        <v>18.111499999999999</v>
      </c>
      <c r="M165" s="1">
        <v>59.818577001957777</v>
      </c>
      <c r="N165" s="1">
        <v>1.247340080283357</v>
      </c>
      <c r="O165" s="1">
        <v>1.1285444755197891</v>
      </c>
      <c r="P165" s="1">
        <v>-9204.609607865239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5">
      <c r="A166" s="1" t="s">
        <v>118</v>
      </c>
      <c r="B166" s="1" t="s">
        <v>119</v>
      </c>
      <c r="C166" s="1">
        <v>12</v>
      </c>
      <c r="D166" s="1">
        <v>2.754999999999996E-2</v>
      </c>
      <c r="E166" s="1">
        <v>0.16650000000000001</v>
      </c>
      <c r="F166" s="1">
        <v>0.16650000000000001</v>
      </c>
      <c r="G166" s="1">
        <v>1.48</v>
      </c>
      <c r="H166" s="1">
        <v>1.292484</v>
      </c>
      <c r="I166" s="1">
        <v>0.33032383561643791</v>
      </c>
      <c r="J166" s="1">
        <v>15.84013183561644</v>
      </c>
      <c r="K166" s="1">
        <v>17.50753183561644</v>
      </c>
      <c r="L166" s="1">
        <v>19.757999999999999</v>
      </c>
      <c r="M166" s="1">
        <v>59.814030565273512</v>
      </c>
      <c r="N166" s="1">
        <v>1.247338103308854</v>
      </c>
      <c r="O166" s="1">
        <v>1.1285428571836329</v>
      </c>
      <c r="P166" s="1">
        <v>-9574.6079558162819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5"/>
  <sheetViews>
    <sheetView tabSelected="1" topLeftCell="AZ1" workbookViewId="0">
      <pane ySplit="1" topLeftCell="A2" activePane="bottomLeft" state="frozen"/>
      <selection pane="bottomLeft" activeCell="AZ2" sqref="AZ2"/>
    </sheetView>
  </sheetViews>
  <sheetFormatPr defaultRowHeight="14.5" x14ac:dyDescent="0.35"/>
  <cols>
    <col min="1" max="1" width="21" customWidth="1"/>
    <col min="2" max="9" width="19" customWidth="1"/>
    <col min="10" max="10" width="22" customWidth="1"/>
    <col min="11" max="11" width="24" customWidth="1"/>
    <col min="12" max="12" width="23" customWidth="1"/>
    <col min="13" max="14" width="19" customWidth="1"/>
    <col min="15" max="15" width="20" customWidth="1"/>
    <col min="16" max="16" width="24" customWidth="1"/>
    <col min="17" max="17" width="28" customWidth="1"/>
    <col min="18" max="18" width="22" customWidth="1"/>
    <col min="19" max="20" width="44" customWidth="1"/>
    <col min="21" max="21" width="41" customWidth="1"/>
    <col min="22" max="23" width="26" customWidth="1"/>
    <col min="24" max="27" width="42" customWidth="1"/>
    <col min="28" max="28" width="18" customWidth="1"/>
    <col min="29" max="31" width="41" customWidth="1"/>
    <col min="32" max="32" width="22" customWidth="1"/>
    <col min="33" max="33" width="23" customWidth="1"/>
    <col min="34" max="34" width="25" customWidth="1"/>
    <col min="35" max="35" width="27" customWidth="1"/>
    <col min="36" max="36" width="23" customWidth="1"/>
    <col min="37" max="37" width="24" customWidth="1"/>
    <col min="38" max="38" width="42" customWidth="1"/>
    <col min="39" max="39" width="44" customWidth="1"/>
    <col min="40" max="40" width="43" customWidth="1"/>
    <col min="41" max="41" width="22" customWidth="1"/>
    <col min="42" max="42" width="44" customWidth="1"/>
    <col min="43" max="43" width="41" customWidth="1"/>
    <col min="44" max="47" width="44" customWidth="1"/>
    <col min="48" max="48" width="26" customWidth="1"/>
    <col min="49" max="49" width="35" customWidth="1"/>
    <col min="50" max="50" width="41" customWidth="1"/>
    <col min="51" max="51" width="14" customWidth="1"/>
    <col min="52" max="53" width="22" customWidth="1"/>
    <col min="54" max="54" width="30" customWidth="1"/>
    <col min="55" max="60" width="44" customWidth="1"/>
    <col min="61" max="61" width="42" customWidth="1"/>
    <col min="62" max="62" width="41" customWidth="1"/>
    <col min="63" max="64" width="44" customWidth="1"/>
  </cols>
  <sheetData>
    <row r="1" spans="1:64" x14ac:dyDescent="0.35">
      <c r="A1" s="2" t="s">
        <v>159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160</v>
      </c>
      <c r="J1" s="2" t="s">
        <v>161</v>
      </c>
      <c r="K1" s="2" t="s">
        <v>162</v>
      </c>
      <c r="L1" s="2" t="s">
        <v>163</v>
      </c>
      <c r="M1" s="2" t="s">
        <v>164</v>
      </c>
      <c r="N1" s="2" t="s">
        <v>165</v>
      </c>
      <c r="O1" s="2" t="s">
        <v>166</v>
      </c>
      <c r="P1" s="2" t="s">
        <v>167</v>
      </c>
      <c r="Q1" s="2" t="s">
        <v>168</v>
      </c>
      <c r="R1" s="2" t="s">
        <v>169</v>
      </c>
      <c r="S1" s="2" t="s">
        <v>79</v>
      </c>
      <c r="T1" s="2" t="s">
        <v>80</v>
      </c>
      <c r="U1" s="2" t="s">
        <v>132</v>
      </c>
      <c r="V1" s="2" t="s">
        <v>170</v>
      </c>
      <c r="W1" s="2" t="s">
        <v>171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82</v>
      </c>
      <c r="AC1" s="2" t="s">
        <v>81</v>
      </c>
      <c r="AD1" s="2" t="s">
        <v>135</v>
      </c>
      <c r="AE1" s="2" t="s">
        <v>136</v>
      </c>
      <c r="AF1" s="2" t="s">
        <v>83</v>
      </c>
      <c r="AG1" s="2" t="s">
        <v>176</v>
      </c>
      <c r="AH1" s="2" t="s">
        <v>177</v>
      </c>
      <c r="AI1" s="2" t="s">
        <v>178</v>
      </c>
      <c r="AJ1" s="2" t="s">
        <v>179</v>
      </c>
      <c r="AK1" s="2" t="s">
        <v>96</v>
      </c>
      <c r="AL1" s="2" t="s">
        <v>85</v>
      </c>
      <c r="AM1" s="2" t="s">
        <v>86</v>
      </c>
      <c r="AN1" s="2" t="s">
        <v>87</v>
      </c>
      <c r="AO1" s="2" t="s">
        <v>88</v>
      </c>
      <c r="AP1" s="2" t="s">
        <v>51</v>
      </c>
      <c r="AQ1" s="2" t="s">
        <v>90</v>
      </c>
      <c r="AR1" s="2" t="s">
        <v>91</v>
      </c>
      <c r="AS1" s="2" t="s">
        <v>92</v>
      </c>
      <c r="AT1" s="2" t="s">
        <v>128</v>
      </c>
      <c r="AU1" s="2" t="s">
        <v>129</v>
      </c>
      <c r="AV1" s="2" t="s">
        <v>89</v>
      </c>
      <c r="AW1" s="2" t="s">
        <v>93</v>
      </c>
      <c r="AX1" s="2" t="s">
        <v>94</v>
      </c>
      <c r="AY1" s="2" t="s">
        <v>95</v>
      </c>
      <c r="AZ1" s="2" t="s">
        <v>97</v>
      </c>
      <c r="BA1" s="2" t="s">
        <v>98</v>
      </c>
      <c r="BB1" s="2" t="s">
        <v>99</v>
      </c>
      <c r="BC1" s="2" t="s">
        <v>100</v>
      </c>
      <c r="BD1" s="2" t="s">
        <v>101</v>
      </c>
      <c r="BE1" s="2" t="s">
        <v>102</v>
      </c>
      <c r="BF1" s="2" t="s">
        <v>103</v>
      </c>
      <c r="BG1" s="2" t="s">
        <v>104</v>
      </c>
      <c r="BH1" s="2" t="s">
        <v>105</v>
      </c>
      <c r="BI1" s="2" t="s">
        <v>180</v>
      </c>
      <c r="BJ1" s="2" t="s">
        <v>181</v>
      </c>
      <c r="BK1" s="2" t="s">
        <v>182</v>
      </c>
      <c r="BL1" s="2" t="s">
        <v>183</v>
      </c>
    </row>
    <row r="2" spans="1:64" x14ac:dyDescent="0.35">
      <c r="A2" s="1" t="s">
        <v>184</v>
      </c>
      <c r="B2" s="5" t="str">
        <f>Model_Outputs!C3</f>
        <v>IGRA</v>
      </c>
      <c r="C2" s="5" t="str">
        <f>Model_Outputs!D3</f>
        <v>3HP</v>
      </c>
      <c r="D2" s="5">
        <f>Model_Outputs!E3</f>
        <v>1500</v>
      </c>
      <c r="E2" s="5">
        <f>Model_Outputs!F3</f>
        <v>2000</v>
      </c>
      <c r="F2" s="5">
        <f>Model_Outputs!G3</f>
        <v>0.3</v>
      </c>
      <c r="G2" s="5">
        <f>Model_Outputs!H3</f>
        <v>2</v>
      </c>
      <c r="H2" s="5">
        <f>Model_Outputs!I3</f>
        <v>20</v>
      </c>
      <c r="I2" s="5">
        <f>Model_Outputs!J3</f>
        <v>450</v>
      </c>
      <c r="J2" s="5">
        <f>Model_Outputs!K3</f>
        <v>32</v>
      </c>
      <c r="K2" s="5">
        <f>Model_Outputs!L3</f>
        <v>25</v>
      </c>
      <c r="L2" s="5">
        <f>Model_Outputs!M3</f>
        <v>7</v>
      </c>
      <c r="M2" s="5">
        <f>Model_Outputs!N3</f>
        <v>1</v>
      </c>
      <c r="N2" s="5">
        <f>Model_Outputs!O3</f>
        <v>16</v>
      </c>
      <c r="O2" s="5">
        <f>Model_Outputs!P3</f>
        <v>4</v>
      </c>
      <c r="P2" s="5">
        <f>Model_Outputs!Q3</f>
        <v>37</v>
      </c>
      <c r="Q2" s="5">
        <f>Model_Outputs!R3</f>
        <v>33</v>
      </c>
      <c r="R2" s="5">
        <f>Model_Outputs!S3</f>
        <v>0.10526315789473679</v>
      </c>
      <c r="S2" s="5">
        <f>IFERROR(I2*IF(B2="IGRA",Inputs_Assumptions!$B$2,Inputs_Assumptions!$B$3),"")</f>
        <v>51066</v>
      </c>
      <c r="T2" s="5">
        <f>IFERROR(J2*IF(C2="3HP",Inputs_Assumptions!$B$4,IF(C2="4R",Inputs_Assumptions!$B$5,0)),"")</f>
        <v>5296.2304000000004</v>
      </c>
      <c r="U2" s="5">
        <f>IFERROR(L2*Inputs_Assumptions!$B$9,"")</f>
        <v>0</v>
      </c>
      <c r="V2" s="5">
        <f>Inputs_Assumptions!$B$7</f>
        <v>0</v>
      </c>
      <c r="W2" s="5">
        <f>Inputs_Assumptions!$B$8</f>
        <v>0</v>
      </c>
      <c r="X2" s="5">
        <f>IFERROR(I2*Inputs_Assumptions!$B$10,"")</f>
        <v>0</v>
      </c>
      <c r="Y2" s="5">
        <f>IFERROR(J2*Inputs_Assumptions!$B$11,"")</f>
        <v>1600</v>
      </c>
      <c r="Z2" s="5">
        <f>IFERROR(J2*Inputs_Assumptions!$B$12,"")</f>
        <v>8000</v>
      </c>
      <c r="AA2" s="5">
        <f>IFERROR(I2*Inputs_Assumptions!$B$13,"")</f>
        <v>22500</v>
      </c>
      <c r="AB2" s="5">
        <f>SUM(S2:AA2)</f>
        <v>88462.2304</v>
      </c>
      <c r="AC2" s="5">
        <f>IFERROR(O2*Inputs_Assumptions!$B$6,"")</f>
        <v>76318.399999999994</v>
      </c>
      <c r="AD2" s="5">
        <f>IFERROR(P2*Inputs_Assumptions!$B$6,"")</f>
        <v>705945.2</v>
      </c>
      <c r="AE2" s="5">
        <f>IFERROR(Q2*Inputs_Assumptions!$B$6,"")</f>
        <v>629626.79999999993</v>
      </c>
      <c r="AF2" s="5">
        <f>IFERROR(AB2-AC2,"")</f>
        <v>12143.830400000006</v>
      </c>
      <c r="AG2" s="5">
        <f>IFERROR(AB2/I2,"")</f>
        <v>196.58273422222223</v>
      </c>
      <c r="AH2" s="5">
        <f>IFERROR(AB2/J2,"")</f>
        <v>2764.4447</v>
      </c>
      <c r="AI2" s="5">
        <f>IFERROR(AB2/K2,"")</f>
        <v>3538.4892159999999</v>
      </c>
      <c r="AJ2" s="5">
        <f>IFERROR(AF2/N2,"")</f>
        <v>758.98940000000039</v>
      </c>
      <c r="AK2" s="5">
        <f>IFERROR(AF2/O2,"")</f>
        <v>3035.9576000000015</v>
      </c>
      <c r="AL2" s="5">
        <f>IFERROR(O2*Inputs_Assumptions!$B$16,"")</f>
        <v>0.29599999999999999</v>
      </c>
      <c r="AM2" s="5">
        <f>IFERROR(O2*Inputs_Assumptions!$B$14*Inputs_Assumptions!$B$15,"")</f>
        <v>0.66600000000000004</v>
      </c>
      <c r="AN2" s="5">
        <f>IFERROR(AL2*Inputs_Assumptions!$B$17,"")</f>
        <v>5.92</v>
      </c>
      <c r="AO2" s="5">
        <f>IFERROR(AM2+AN2,"")</f>
        <v>6.5860000000000003</v>
      </c>
      <c r="AP2" s="5">
        <f>IF(Inputs_Assumptions!$B$24="",Inputs_Assumptions!$B$17*Inputs_Assumptions!$B$18,Inputs_Assumptions!$B$24)</f>
        <v>17.466000000000001</v>
      </c>
      <c r="AQ2" s="5">
        <f>IF(Inputs_Assumptions!$B$23,AL2*AP2,0)</f>
        <v>5.1699359999999999</v>
      </c>
      <c r="AR2" s="5">
        <f>IFERROR(O2*(Inputs_Assumptions!$B$18-Inputs_Assumptions!$B$19)*Inputs_Assumptions!$B$25,"")</f>
        <v>0.11019999999999985</v>
      </c>
      <c r="AS2" s="5">
        <f>IFERROR(O2*Inputs_Assumptions!$B$14*Inputs_Assumptions!$B$15,"")</f>
        <v>0.66600000000000004</v>
      </c>
      <c r="AT2" s="5">
        <f>IFERROR(J2*Inputs_Assumptions!$B$22*IF(C2="3HP",0.25,IF(C2="4R",4/12,0)),"")</f>
        <v>0</v>
      </c>
      <c r="AU2" s="5">
        <f>IFERROR(M2*(Inputs_Assumptions!$B$18-Inputs_Assumptions!$B$20)*Inputs_Assumptions!$B$21,"")</f>
        <v>9.2054794520546315E-5</v>
      </c>
      <c r="AV2" s="5">
        <f>IFERROR(AR2-AT2-AU2,"")</f>
        <v>0.11010794520547931</v>
      </c>
      <c r="AW2" s="5">
        <f>IFERROR(AR2+AQ2-AT2-AU2,"")</f>
        <v>5.2800439452054793</v>
      </c>
      <c r="AX2" s="5">
        <f>IFERROR(AS2+AQ2-AT2-AU2,"")</f>
        <v>5.8358439452054798</v>
      </c>
      <c r="AY2" s="5">
        <f>AV2</f>
        <v>0.11010794520547931</v>
      </c>
      <c r="AZ2" s="5">
        <f>IFERROR(AF2/AO2,"")</f>
        <v>1843.8855754631045</v>
      </c>
      <c r="BA2" s="5">
        <f>IFERROR(AF2/AV2,"")</f>
        <v>110290.22816961705</v>
      </c>
      <c r="BB2" s="5">
        <f>IFERROR(AF2/AW2,"")</f>
        <v>2299.948736416703</v>
      </c>
      <c r="BC2" s="5">
        <f>IFERROR(AO2*Inputs_Assumptions!$B$26-AF2,"")</f>
        <v>284226.16960000002</v>
      </c>
      <c r="BD2" s="5">
        <f>IFERROR(AO2*Inputs_Assumptions!$B$27-AF2,"")</f>
        <v>481806.16960000002</v>
      </c>
      <c r="BE2" s="5">
        <f>IFERROR(AV2*Inputs_Assumptions!$B$26-AF2,"")</f>
        <v>-7188.972865753437</v>
      </c>
      <c r="BF2" s="5">
        <f>IFERROR(AV2*Inputs_Assumptions!$B$27-AF2,"")</f>
        <v>-3885.7345095890578</v>
      </c>
      <c r="BG2" s="5">
        <f>IFERROR(AW2*Inputs_Assumptions!$B$26-AF2,"")</f>
        <v>225458.14713424657</v>
      </c>
      <c r="BH2" s="5">
        <f>IFERROR(AW2*Inputs_Assumptions!$B$27-AF2,"")</f>
        <v>383859.46549041092</v>
      </c>
      <c r="BI2" s="5">
        <f>IFERROR(AB2/Inputs_Assumptions!$B$6,"")</f>
        <v>4.6364824419799158</v>
      </c>
      <c r="BJ2" s="5">
        <f>IFERROR(IF(AF2&lt;0,-AF2,0),"")</f>
        <v>0</v>
      </c>
      <c r="BK2" s="5">
        <f>IFERROR(BJ2/I2,"")</f>
        <v>0</v>
      </c>
      <c r="BL2" s="5">
        <f>IFERROR(BJ2/J2,"")</f>
        <v>0</v>
      </c>
    </row>
    <row r="3" spans="1:64" x14ac:dyDescent="0.35">
      <c r="A3" s="1" t="s">
        <v>185</v>
      </c>
      <c r="B3" s="5" t="str">
        <f>Model_Outputs!C4</f>
        <v>IGRA</v>
      </c>
      <c r="C3" s="5" t="str">
        <f>Model_Outputs!D4</f>
        <v>3HP</v>
      </c>
      <c r="D3" s="5">
        <f>Model_Outputs!E4</f>
        <v>1500</v>
      </c>
      <c r="E3" s="5">
        <f>Model_Outputs!F4</f>
        <v>2000</v>
      </c>
      <c r="F3" s="5">
        <f>Model_Outputs!G4</f>
        <v>0.3</v>
      </c>
      <c r="G3" s="5">
        <f>Model_Outputs!H4</f>
        <v>2</v>
      </c>
      <c r="H3" s="5">
        <f>Model_Outputs!I4</f>
        <v>20</v>
      </c>
      <c r="I3" s="5">
        <f>Model_Outputs!J4</f>
        <v>450</v>
      </c>
      <c r="J3" s="5">
        <f>Model_Outputs!K4</f>
        <v>67</v>
      </c>
      <c r="K3" s="5">
        <f>Model_Outputs!L4</f>
        <v>54</v>
      </c>
      <c r="L3" s="5">
        <f>Model_Outputs!M4</f>
        <v>6</v>
      </c>
      <c r="M3" s="5">
        <f>Model_Outputs!N4</f>
        <v>3</v>
      </c>
      <c r="N3" s="5">
        <f>Model_Outputs!O4</f>
        <v>40</v>
      </c>
      <c r="O3" s="5">
        <f>Model_Outputs!P4</f>
        <v>11</v>
      </c>
      <c r="P3" s="5">
        <f>Model_Outputs!Q4</f>
        <v>37</v>
      </c>
      <c r="Q3" s="5">
        <f>Model_Outputs!R4</f>
        <v>26</v>
      </c>
      <c r="R3" s="5">
        <f>Model_Outputs!S4</f>
        <v>0.30434782608695649</v>
      </c>
      <c r="S3" s="5">
        <f>IFERROR(I3*IF(B3="IGRA",Inputs_Assumptions!$B$2,Inputs_Assumptions!$B$3),"")</f>
        <v>51066</v>
      </c>
      <c r="T3" s="5">
        <f>IFERROR(J3*IF(C3="3HP",Inputs_Assumptions!$B$4,IF(C3="4R",Inputs_Assumptions!$B$5,0)),"")</f>
        <v>11088.982400000001</v>
      </c>
      <c r="U3" s="5">
        <f>IFERROR(L3*Inputs_Assumptions!$B$9,"")</f>
        <v>0</v>
      </c>
      <c r="V3" s="5">
        <f>Inputs_Assumptions!$B$7</f>
        <v>0</v>
      </c>
      <c r="W3" s="5">
        <f>Inputs_Assumptions!$B$8</f>
        <v>0</v>
      </c>
      <c r="X3" s="5">
        <f>IFERROR(I3*Inputs_Assumptions!$B$10,"")</f>
        <v>0</v>
      </c>
      <c r="Y3" s="5">
        <f>IFERROR(J3*Inputs_Assumptions!$B$11,"")</f>
        <v>3350</v>
      </c>
      <c r="Z3" s="5">
        <f>IFERROR(J3*Inputs_Assumptions!$B$12,"")</f>
        <v>16750</v>
      </c>
      <c r="AA3" s="5">
        <f>IFERROR(I3*Inputs_Assumptions!$B$13,"")</f>
        <v>22500</v>
      </c>
      <c r="AB3" s="5">
        <f>SUM(S3:AA3)</f>
        <v>104754.98240000001</v>
      </c>
      <c r="AC3" s="5">
        <f>IFERROR(O3*Inputs_Assumptions!$B$6,"")</f>
        <v>209875.59999999998</v>
      </c>
      <c r="AD3" s="5">
        <f>IFERROR(P3*Inputs_Assumptions!$B$6,"")</f>
        <v>705945.2</v>
      </c>
      <c r="AE3" s="5">
        <f>IFERROR(Q3*Inputs_Assumptions!$B$6,"")</f>
        <v>496069.6</v>
      </c>
      <c r="AF3" s="5">
        <f>IFERROR(AB3-AC3,"")</f>
        <v>-105120.61759999997</v>
      </c>
      <c r="AG3" s="5">
        <f>IFERROR(AB3/I3,"")</f>
        <v>232.78884977777778</v>
      </c>
      <c r="AH3" s="5">
        <f>IFERROR(AB3/J3,"")</f>
        <v>1563.5072</v>
      </c>
      <c r="AI3" s="5">
        <f>IFERROR(AB3/K3,"")</f>
        <v>1939.9070814814816</v>
      </c>
      <c r="AJ3" s="5">
        <f>IFERROR(AF3/N3,"")</f>
        <v>-2628.0154399999992</v>
      </c>
      <c r="AK3" s="5">
        <f>IFERROR(AF3/O3,"")</f>
        <v>-9556.4197818181783</v>
      </c>
      <c r="AL3" s="5">
        <f>IFERROR(O3*Inputs_Assumptions!$B$16,"")</f>
        <v>0.81399999999999995</v>
      </c>
      <c r="AM3" s="5">
        <f>IFERROR(O3*Inputs_Assumptions!$B$14*Inputs_Assumptions!$B$15,"")</f>
        <v>1.8315000000000001</v>
      </c>
      <c r="AN3" s="5">
        <f>IFERROR(AL3*Inputs_Assumptions!$B$17,"")</f>
        <v>16.279999999999998</v>
      </c>
      <c r="AO3" s="5">
        <f>IFERROR(AM3+AN3,"")</f>
        <v>18.111499999999999</v>
      </c>
      <c r="AP3" s="5">
        <f>IF(Inputs_Assumptions!$B$24="",Inputs_Assumptions!$B$17*Inputs_Assumptions!$B$18,Inputs_Assumptions!$B$24)</f>
        <v>17.466000000000001</v>
      </c>
      <c r="AQ3" s="5">
        <f>IF(Inputs_Assumptions!$B$23,AL3*AP3,0)</f>
        <v>14.217324</v>
      </c>
      <c r="AR3" s="5">
        <f>IFERROR(O3*(Inputs_Assumptions!$B$18-Inputs_Assumptions!$B$19)*Inputs_Assumptions!$B$25,"")</f>
        <v>0.3030499999999996</v>
      </c>
      <c r="AS3" s="5">
        <f>IFERROR(O3*Inputs_Assumptions!$B$14*Inputs_Assumptions!$B$15,"")</f>
        <v>1.8315000000000001</v>
      </c>
      <c r="AT3" s="5">
        <f>IFERROR(J3*Inputs_Assumptions!$B$22*IF(C3="3HP",0.25,IF(C3="4R",4/12,0)),"")</f>
        <v>0</v>
      </c>
      <c r="AU3" s="5">
        <f>IFERROR(M3*(Inputs_Assumptions!$B$18-Inputs_Assumptions!$B$20)*Inputs_Assumptions!$B$21,"")</f>
        <v>2.7616438356163896E-4</v>
      </c>
      <c r="AV3" s="5">
        <f>IFERROR(AR3-AT3-AU3,"")</f>
        <v>0.30277383561643795</v>
      </c>
      <c r="AW3" s="5">
        <f>IFERROR(AR3+AQ3-AT3-AU3,"")</f>
        <v>14.520097835616436</v>
      </c>
      <c r="AX3" s="5">
        <f>IFERROR(AS3+AQ3-AT3-AU3,"")</f>
        <v>16.048547835616439</v>
      </c>
      <c r="AY3" s="5">
        <f>AV3</f>
        <v>0.30277383561643795</v>
      </c>
      <c r="AZ3" s="5">
        <f>IFERROR(AF3/AO3,"")</f>
        <v>-5804.0812522430488</v>
      </c>
      <c r="BA3" s="5">
        <f>IFERROR(AF3/AV3,"")</f>
        <v>-347191.8813129203</v>
      </c>
      <c r="BB3" s="5">
        <f>IFERROR(AF3/AW3,"")</f>
        <v>-7239.6631751439691</v>
      </c>
      <c r="BC3" s="5">
        <f>IFERROR(AO3*Inputs_Assumptions!$B$26-AF3,"")</f>
        <v>920138.1176</v>
      </c>
      <c r="BD3" s="5">
        <f>IFERROR(AO3*Inputs_Assumptions!$B$27-AF3,"")</f>
        <v>1463483.1176</v>
      </c>
      <c r="BE3" s="5">
        <f>IFERROR(AV3*Inputs_Assumptions!$B$26-AF3,"")</f>
        <v>118745.44020273967</v>
      </c>
      <c r="BF3" s="5">
        <f>IFERROR(AV3*Inputs_Assumptions!$B$27-AF3,"")</f>
        <v>127828.65527123281</v>
      </c>
      <c r="BG3" s="5">
        <f>IFERROR(AW3*Inputs_Assumptions!$B$26-AF3,"")</f>
        <v>758525.02020273963</v>
      </c>
      <c r="BH3" s="5">
        <f>IFERROR(AW3*Inputs_Assumptions!$B$27-AF3,"")</f>
        <v>1194127.9552712326</v>
      </c>
      <c r="BI3" s="5">
        <f>IFERROR(AB3/Inputs_Assumptions!$B$6,"")</f>
        <v>5.4904181639028078</v>
      </c>
      <c r="BJ3" s="5">
        <f>IFERROR(IF(AF3&lt;0,-AF3,0),"")</f>
        <v>105120.61759999997</v>
      </c>
      <c r="BK3" s="5">
        <f>IFERROR(BJ3/I3,"")</f>
        <v>233.60137244444437</v>
      </c>
      <c r="BL3" s="5">
        <f>IFERROR(BJ3/J3,"")</f>
        <v>1568.9644417910442</v>
      </c>
    </row>
    <row r="4" spans="1:64" x14ac:dyDescent="0.35">
      <c r="A4" s="1" t="s">
        <v>186</v>
      </c>
      <c r="B4" s="5" t="str">
        <f>Model_Outputs!C5</f>
        <v>IGRA</v>
      </c>
      <c r="C4" s="5" t="str">
        <f>Model_Outputs!D5</f>
        <v>3HP</v>
      </c>
      <c r="D4" s="5">
        <f>Model_Outputs!E5</f>
        <v>1500</v>
      </c>
      <c r="E4" s="5">
        <f>Model_Outputs!F5</f>
        <v>2000</v>
      </c>
      <c r="F4" s="5">
        <f>Model_Outputs!G5</f>
        <v>0.3</v>
      </c>
      <c r="G4" s="5">
        <f>Model_Outputs!H5</f>
        <v>2</v>
      </c>
      <c r="H4" s="5">
        <f>Model_Outputs!I5</f>
        <v>20</v>
      </c>
      <c r="I4" s="5">
        <f>Model_Outputs!J5</f>
        <v>450</v>
      </c>
      <c r="J4" s="5">
        <f>Model_Outputs!K5</f>
        <v>67</v>
      </c>
      <c r="K4" s="5">
        <f>Model_Outputs!L5</f>
        <v>54</v>
      </c>
      <c r="L4" s="5">
        <f>Model_Outputs!M5</f>
        <v>6</v>
      </c>
      <c r="M4" s="5">
        <f>Model_Outputs!N5</f>
        <v>3</v>
      </c>
      <c r="N4" s="5">
        <f>Model_Outputs!O5</f>
        <v>40</v>
      </c>
      <c r="O4" s="5">
        <f>Model_Outputs!P5</f>
        <v>11</v>
      </c>
      <c r="P4" s="5">
        <f>Model_Outputs!Q5</f>
        <v>37</v>
      </c>
      <c r="Q4" s="5">
        <f>Model_Outputs!R5</f>
        <v>26</v>
      </c>
      <c r="R4" s="5">
        <f>Model_Outputs!S5</f>
        <v>0.29729729729729731</v>
      </c>
      <c r="S4" s="5">
        <f>IFERROR(I4*IF(B4="IGRA",Inputs_Assumptions!$B$2,Inputs_Assumptions!$B$3),"")</f>
        <v>51066</v>
      </c>
      <c r="T4" s="5">
        <f>IFERROR(J4*IF(C4="3HP",Inputs_Assumptions!$B$4,IF(C4="4R",Inputs_Assumptions!$B$5,0)),"")</f>
        <v>11088.982400000001</v>
      </c>
      <c r="U4" s="5">
        <f>IFERROR(L4*Inputs_Assumptions!$B$9,"")</f>
        <v>0</v>
      </c>
      <c r="V4" s="5">
        <f>Inputs_Assumptions!$B$7</f>
        <v>0</v>
      </c>
      <c r="W4" s="5">
        <f>Inputs_Assumptions!$B$8</f>
        <v>0</v>
      </c>
      <c r="X4" s="5">
        <f>IFERROR(I4*Inputs_Assumptions!$B$10,"")</f>
        <v>0</v>
      </c>
      <c r="Y4" s="5">
        <f>IFERROR(J4*Inputs_Assumptions!$B$11,"")</f>
        <v>3350</v>
      </c>
      <c r="Z4" s="5">
        <f>IFERROR(J4*Inputs_Assumptions!$B$12,"")</f>
        <v>16750</v>
      </c>
      <c r="AA4" s="5">
        <f>IFERROR(I4*Inputs_Assumptions!$B$13,"")</f>
        <v>22500</v>
      </c>
      <c r="AB4" s="5">
        <f>SUM(S4:AA4)</f>
        <v>104754.98240000001</v>
      </c>
      <c r="AC4" s="5">
        <f>IFERROR(O4*Inputs_Assumptions!$B$6,"")</f>
        <v>209875.59999999998</v>
      </c>
      <c r="AD4" s="5">
        <f>IFERROR(P4*Inputs_Assumptions!$B$6,"")</f>
        <v>705945.2</v>
      </c>
      <c r="AE4" s="5">
        <f>IFERROR(Q4*Inputs_Assumptions!$B$6,"")</f>
        <v>496069.6</v>
      </c>
      <c r="AF4" s="5">
        <f>IFERROR(AB4-AC4,"")</f>
        <v>-105120.61759999997</v>
      </c>
      <c r="AG4" s="5">
        <f>IFERROR(AB4/I4,"")</f>
        <v>232.78884977777778</v>
      </c>
      <c r="AH4" s="5">
        <f>IFERROR(AB4/J4,"")</f>
        <v>1563.5072</v>
      </c>
      <c r="AI4" s="5">
        <f>IFERROR(AB4/K4,"")</f>
        <v>1939.9070814814816</v>
      </c>
      <c r="AJ4" s="5">
        <f>IFERROR(AF4/N4,"")</f>
        <v>-2628.0154399999992</v>
      </c>
      <c r="AK4" s="5">
        <f>IFERROR(AF4/O4,"")</f>
        <v>-9556.4197818181783</v>
      </c>
      <c r="AL4" s="5">
        <f>IFERROR(O4*Inputs_Assumptions!$B$16,"")</f>
        <v>0.81399999999999995</v>
      </c>
      <c r="AM4" s="5">
        <f>IFERROR(O4*Inputs_Assumptions!$B$14*Inputs_Assumptions!$B$15,"")</f>
        <v>1.8315000000000001</v>
      </c>
      <c r="AN4" s="5">
        <f>IFERROR(AL4*Inputs_Assumptions!$B$17,"")</f>
        <v>16.279999999999998</v>
      </c>
      <c r="AO4" s="5">
        <f>IFERROR(AM4+AN4,"")</f>
        <v>18.111499999999999</v>
      </c>
      <c r="AP4" s="5">
        <f>IF(Inputs_Assumptions!$B$24="",Inputs_Assumptions!$B$17*Inputs_Assumptions!$B$18,Inputs_Assumptions!$B$24)</f>
        <v>17.466000000000001</v>
      </c>
      <c r="AQ4" s="5">
        <f>IF(Inputs_Assumptions!$B$23,AL4*AP4,0)</f>
        <v>14.217324</v>
      </c>
      <c r="AR4" s="5">
        <f>IFERROR(O4*(Inputs_Assumptions!$B$18-Inputs_Assumptions!$B$19)*Inputs_Assumptions!$B$25,"")</f>
        <v>0.3030499999999996</v>
      </c>
      <c r="AS4" s="5">
        <f>IFERROR(O4*Inputs_Assumptions!$B$14*Inputs_Assumptions!$B$15,"")</f>
        <v>1.8315000000000001</v>
      </c>
      <c r="AT4" s="5">
        <f>IFERROR(J4*Inputs_Assumptions!$B$22*IF(C4="3HP",0.25,IF(C4="4R",4/12,0)),"")</f>
        <v>0</v>
      </c>
      <c r="AU4" s="5">
        <f>IFERROR(M4*(Inputs_Assumptions!$B$18-Inputs_Assumptions!$B$20)*Inputs_Assumptions!$B$21,"")</f>
        <v>2.7616438356163896E-4</v>
      </c>
      <c r="AV4" s="5">
        <f>IFERROR(AR4-AT4-AU4,"")</f>
        <v>0.30277383561643795</v>
      </c>
      <c r="AW4" s="5">
        <f>IFERROR(AR4+AQ4-AT4-AU4,"")</f>
        <v>14.520097835616436</v>
      </c>
      <c r="AX4" s="5">
        <f>IFERROR(AS4+AQ4-AT4-AU4,"")</f>
        <v>16.048547835616439</v>
      </c>
      <c r="AY4" s="5">
        <f>AV4</f>
        <v>0.30277383561643795</v>
      </c>
      <c r="AZ4" s="5">
        <f>IFERROR(AF4/AO4,"")</f>
        <v>-5804.0812522430488</v>
      </c>
      <c r="BA4" s="5">
        <f>IFERROR(AF4/AV4,"")</f>
        <v>-347191.8813129203</v>
      </c>
      <c r="BB4" s="5">
        <f>IFERROR(AF4/AW4,"")</f>
        <v>-7239.6631751439691</v>
      </c>
      <c r="BC4" s="5">
        <f>IFERROR(AO4*Inputs_Assumptions!$B$26-AF4,"")</f>
        <v>920138.1176</v>
      </c>
      <c r="BD4" s="5">
        <f>IFERROR(AO4*Inputs_Assumptions!$B$27-AF4,"")</f>
        <v>1463483.1176</v>
      </c>
      <c r="BE4" s="5">
        <f>IFERROR(AV4*Inputs_Assumptions!$B$26-AF4,"")</f>
        <v>118745.44020273967</v>
      </c>
      <c r="BF4" s="5">
        <f>IFERROR(AV4*Inputs_Assumptions!$B$27-AF4,"")</f>
        <v>127828.65527123281</v>
      </c>
      <c r="BG4" s="5">
        <f>IFERROR(AW4*Inputs_Assumptions!$B$26-AF4,"")</f>
        <v>758525.02020273963</v>
      </c>
      <c r="BH4" s="5">
        <f>IFERROR(AW4*Inputs_Assumptions!$B$27-AF4,"")</f>
        <v>1194127.9552712326</v>
      </c>
      <c r="BI4" s="5">
        <f>IFERROR(AB4/Inputs_Assumptions!$B$6,"")</f>
        <v>5.4904181639028078</v>
      </c>
      <c r="BJ4" s="5">
        <f>IFERROR(IF(AF4&lt;0,-AF4,0),"")</f>
        <v>105120.61759999997</v>
      </c>
      <c r="BK4" s="5">
        <f>IFERROR(BJ4/I4,"")</f>
        <v>233.60137244444437</v>
      </c>
      <c r="BL4" s="5">
        <f>IFERROR(BJ4/J4,"")</f>
        <v>1568.9644417910442</v>
      </c>
    </row>
    <row r="5" spans="1:64" x14ac:dyDescent="0.35">
      <c r="A5" s="1" t="s">
        <v>187</v>
      </c>
      <c r="B5" s="5" t="str">
        <f>Model_Outputs!C6</f>
        <v>IGRA</v>
      </c>
      <c r="C5" s="5" t="str">
        <f>Model_Outputs!D6</f>
        <v>3HP</v>
      </c>
      <c r="D5" s="5">
        <f>Model_Outputs!E6</f>
        <v>1500</v>
      </c>
      <c r="E5" s="5">
        <f>Model_Outputs!F6</f>
        <v>2000</v>
      </c>
      <c r="F5" s="5">
        <f>Model_Outputs!G6</f>
        <v>0.3</v>
      </c>
      <c r="G5" s="5">
        <f>Model_Outputs!H6</f>
        <v>2</v>
      </c>
      <c r="H5" s="5">
        <f>Model_Outputs!I6</f>
        <v>20</v>
      </c>
      <c r="I5" s="5">
        <f>Model_Outputs!J6</f>
        <v>450</v>
      </c>
      <c r="J5" s="5">
        <f>Model_Outputs!K6</f>
        <v>62</v>
      </c>
      <c r="K5" s="5">
        <f>Model_Outputs!L6</f>
        <v>50</v>
      </c>
      <c r="L5" s="5">
        <f>Model_Outputs!M6</f>
        <v>6</v>
      </c>
      <c r="M5" s="5">
        <f>Model_Outputs!N6</f>
        <v>3</v>
      </c>
      <c r="N5" s="5">
        <f>Model_Outputs!O6</f>
        <v>37</v>
      </c>
      <c r="O5" s="5">
        <f>Model_Outputs!P6</f>
        <v>12</v>
      </c>
      <c r="P5" s="5">
        <f>Model_Outputs!Q6</f>
        <v>37</v>
      </c>
      <c r="Q5" s="5">
        <f>Model_Outputs!R6</f>
        <v>25</v>
      </c>
      <c r="R5" s="5">
        <f>Model_Outputs!S6</f>
        <v>0.3235294117647059</v>
      </c>
      <c r="S5" s="5">
        <f>IFERROR(I5*IF(B5="IGRA",Inputs_Assumptions!$B$2,Inputs_Assumptions!$B$3),"")</f>
        <v>51066</v>
      </c>
      <c r="T5" s="5">
        <f>IFERROR(J5*IF(C5="3HP",Inputs_Assumptions!$B$4,IF(C5="4R",Inputs_Assumptions!$B$5,0)),"")</f>
        <v>10261.446400000001</v>
      </c>
      <c r="U5" s="5">
        <f>IFERROR(L5*Inputs_Assumptions!$B$9,"")</f>
        <v>0</v>
      </c>
      <c r="V5" s="5">
        <f>Inputs_Assumptions!$B$7</f>
        <v>0</v>
      </c>
      <c r="W5" s="5">
        <f>Inputs_Assumptions!$B$8</f>
        <v>0</v>
      </c>
      <c r="X5" s="5">
        <f>IFERROR(I5*Inputs_Assumptions!$B$10,"")</f>
        <v>0</v>
      </c>
      <c r="Y5" s="5">
        <f>IFERROR(J5*Inputs_Assumptions!$B$11,"")</f>
        <v>3100</v>
      </c>
      <c r="Z5" s="5">
        <f>IFERROR(J5*Inputs_Assumptions!$B$12,"")</f>
        <v>15500</v>
      </c>
      <c r="AA5" s="5">
        <f>IFERROR(I5*Inputs_Assumptions!$B$13,"")</f>
        <v>22500</v>
      </c>
      <c r="AB5" s="5">
        <f>SUM(S5:AA5)</f>
        <v>102427.4464</v>
      </c>
      <c r="AC5" s="5">
        <f>IFERROR(O5*Inputs_Assumptions!$B$6,"")</f>
        <v>228955.19999999998</v>
      </c>
      <c r="AD5" s="5">
        <f>IFERROR(P5*Inputs_Assumptions!$B$6,"")</f>
        <v>705945.2</v>
      </c>
      <c r="AE5" s="5">
        <f>IFERROR(Q5*Inputs_Assumptions!$B$6,"")</f>
        <v>476989.99999999994</v>
      </c>
      <c r="AF5" s="5">
        <f>IFERROR(AB5-AC5,"")</f>
        <v>-126527.75359999998</v>
      </c>
      <c r="AG5" s="5">
        <f>IFERROR(AB5/I5,"")</f>
        <v>227.61654755555557</v>
      </c>
      <c r="AH5" s="5">
        <f>IFERROR(AB5/J5,"")</f>
        <v>1652.0555870967742</v>
      </c>
      <c r="AI5" s="5">
        <f>IFERROR(AB5/K5,"")</f>
        <v>2048.5489280000002</v>
      </c>
      <c r="AJ5" s="5">
        <f>IFERROR(AF5/N5,"")</f>
        <v>-3419.6690162162158</v>
      </c>
      <c r="AK5" s="5">
        <f>IFERROR(AF5/O5,"")</f>
        <v>-10543.979466666666</v>
      </c>
      <c r="AL5" s="5">
        <f>IFERROR(O5*Inputs_Assumptions!$B$16,"")</f>
        <v>0.8879999999999999</v>
      </c>
      <c r="AM5" s="5">
        <f>IFERROR(O5*Inputs_Assumptions!$B$14*Inputs_Assumptions!$B$15,"")</f>
        <v>1.9980000000000002</v>
      </c>
      <c r="AN5" s="5">
        <f>IFERROR(AL5*Inputs_Assumptions!$B$17,"")</f>
        <v>17.759999999999998</v>
      </c>
      <c r="AO5" s="5">
        <f>IFERROR(AM5+AN5,"")</f>
        <v>19.757999999999999</v>
      </c>
      <c r="AP5" s="5">
        <f>IF(Inputs_Assumptions!$B$24="",Inputs_Assumptions!$B$17*Inputs_Assumptions!$B$18,Inputs_Assumptions!$B$24)</f>
        <v>17.466000000000001</v>
      </c>
      <c r="AQ5" s="5">
        <f>IF(Inputs_Assumptions!$B$23,AL5*AP5,0)</f>
        <v>15.509808</v>
      </c>
      <c r="AR5" s="5">
        <f>IFERROR(O5*(Inputs_Assumptions!$B$18-Inputs_Assumptions!$B$19)*Inputs_Assumptions!$B$25,"")</f>
        <v>0.33059999999999956</v>
      </c>
      <c r="AS5" s="5">
        <f>IFERROR(O5*Inputs_Assumptions!$B$14*Inputs_Assumptions!$B$15,"")</f>
        <v>1.9980000000000002</v>
      </c>
      <c r="AT5" s="5">
        <f>IFERROR(J5*Inputs_Assumptions!$B$22*IF(C5="3HP",0.25,IF(C5="4R",4/12,0)),"")</f>
        <v>0</v>
      </c>
      <c r="AU5" s="5">
        <f>IFERROR(M5*(Inputs_Assumptions!$B$18-Inputs_Assumptions!$B$20)*Inputs_Assumptions!$B$21,"")</f>
        <v>2.7616438356163896E-4</v>
      </c>
      <c r="AV5" s="5">
        <f>IFERROR(AR5-AT5-AU5,"")</f>
        <v>0.33032383561643791</v>
      </c>
      <c r="AW5" s="5">
        <f>IFERROR(AR5+AQ5-AT5-AU5,"")</f>
        <v>15.840131835616438</v>
      </c>
      <c r="AX5" s="5">
        <f>IFERROR(AS5+AQ5-AT5-AU5,"")</f>
        <v>17.50753183561644</v>
      </c>
      <c r="AY5" s="5">
        <f>AV5</f>
        <v>0.33032383561643791</v>
      </c>
      <c r="AZ5" s="5">
        <f>IFERROR(AF5/AO5,"")</f>
        <v>-6403.8745622026518</v>
      </c>
      <c r="BA5" s="5">
        <f>IFERROR(AF5/AV5,"")</f>
        <v>-383041.54879976693</v>
      </c>
      <c r="BB5" s="5">
        <f>IFERROR(AF5/AW5,"")</f>
        <v>-7987.7967502456713</v>
      </c>
      <c r="BC5" s="5">
        <f>IFERROR(AO5*Inputs_Assumptions!$B$26-AF5,"")</f>
        <v>1015637.7535999999</v>
      </c>
      <c r="BD5" s="5">
        <f>IFERROR(AO5*Inputs_Assumptions!$B$27-AF5,"")</f>
        <v>1608377.7535999999</v>
      </c>
      <c r="BE5" s="5">
        <f>IFERROR(AV5*Inputs_Assumptions!$B$26-AF5,"")</f>
        <v>141392.3262027397</v>
      </c>
      <c r="BF5" s="5">
        <f>IFERROR(AV5*Inputs_Assumptions!$B$27-AF5,"")</f>
        <v>151302.04127123283</v>
      </c>
      <c r="BG5" s="5">
        <f>IFERROR(AW5*Inputs_Assumptions!$B$26-AF5,"")</f>
        <v>839333.6862027396</v>
      </c>
      <c r="BH5" s="5">
        <f>IFERROR(AW5*Inputs_Assumptions!$B$27-AF5,"")</f>
        <v>1314537.6412712329</v>
      </c>
      <c r="BI5" s="5">
        <f>IFERROR(AB5/Inputs_Assumptions!$B$6,"")</f>
        <v>5.3684273464852517</v>
      </c>
      <c r="BJ5" s="5">
        <f>IFERROR(IF(AF5&lt;0,-AF5,0),"")</f>
        <v>126527.75359999998</v>
      </c>
      <c r="BK5" s="5">
        <f>IFERROR(BJ5/I5,"")</f>
        <v>281.17278577777773</v>
      </c>
      <c r="BL5" s="5">
        <f>IFERROR(BJ5/J5,"")</f>
        <v>2040.7702193548384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topLeftCell="G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2" width="27" customWidth="1"/>
    <col min="3" max="4" width="28" customWidth="1"/>
    <col min="5" max="5" width="40" customWidth="1"/>
    <col min="6" max="9" width="28" customWidth="1"/>
    <col min="10" max="10" width="35" customWidth="1"/>
    <col min="11" max="12" width="28" customWidth="1"/>
    <col min="13" max="14" width="44" customWidth="1"/>
  </cols>
  <sheetData>
    <row r="1" spans="1:14" ht="29" x14ac:dyDescent="0.35">
      <c r="A1" s="2" t="s">
        <v>159</v>
      </c>
      <c r="B1" s="2" t="s">
        <v>188</v>
      </c>
      <c r="C1" s="2" t="s">
        <v>189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196</v>
      </c>
      <c r="K1" s="2" t="s">
        <v>197</v>
      </c>
      <c r="L1" s="2" t="s">
        <v>198</v>
      </c>
      <c r="M1" s="2" t="s">
        <v>199</v>
      </c>
      <c r="N1" s="2" t="s">
        <v>200</v>
      </c>
    </row>
    <row r="2" spans="1:14" x14ac:dyDescent="0.35">
      <c r="A2" s="5" t="str">
        <f>Economic_Calculations!A2</f>
        <v>Random</v>
      </c>
      <c r="B2" s="5">
        <f>Economic_Calculations!O2</f>
        <v>4</v>
      </c>
      <c r="C2" s="5">
        <f>Economic_Calculations!AF2</f>
        <v>12143.830400000006</v>
      </c>
      <c r="D2" s="5">
        <f>Economic_Calculations!AO2</f>
        <v>6.5860000000000003</v>
      </c>
      <c r="E2" s="5">
        <f>Economic_Calculations!AV2</f>
        <v>0.11010794520547931</v>
      </c>
      <c r="F2" s="5">
        <f>Economic_Calculations!AW2</f>
        <v>5.2800439452054793</v>
      </c>
      <c r="G2" s="5">
        <f>Economic_Calculations!AU2</f>
        <v>9.2054794520546315E-5</v>
      </c>
      <c r="H2" s="5">
        <f>Economic_Calculations!AX2</f>
        <v>5.8358439452054798</v>
      </c>
      <c r="I2" s="5">
        <f>Economic_Calculations!AY2</f>
        <v>0.11010794520547931</v>
      </c>
      <c r="J2" s="5">
        <f>Economic_Calculations!AK2</f>
        <v>3035.9576000000015</v>
      </c>
      <c r="K2" s="5">
        <f>Economic_Calculations!BE2</f>
        <v>-7188.972865753437</v>
      </c>
      <c r="L2" s="5">
        <f>Economic_Calculations!BF2</f>
        <v>-3885.7345095890578</v>
      </c>
      <c r="M2" s="5">
        <f>Economic_Calculations!BJ2</f>
        <v>0</v>
      </c>
      <c r="N2" s="5">
        <f>Economic_Calculations!BK2</f>
        <v>0</v>
      </c>
    </row>
    <row r="3" spans="1:14" x14ac:dyDescent="0.35">
      <c r="A3" s="5" t="str">
        <f>Economic_Calculations!A3</f>
        <v>LTBI-targeted</v>
      </c>
      <c r="B3" s="5">
        <f>Economic_Calculations!O3</f>
        <v>11</v>
      </c>
      <c r="C3" s="5">
        <f>Economic_Calculations!AF3</f>
        <v>-105120.61759999997</v>
      </c>
      <c r="D3" s="5">
        <f>Economic_Calculations!AO3</f>
        <v>18.111499999999999</v>
      </c>
      <c r="E3" s="5">
        <f>Economic_Calculations!AV3</f>
        <v>0.30277383561643795</v>
      </c>
      <c r="F3" s="5">
        <f>Economic_Calculations!AW3</f>
        <v>14.520097835616436</v>
      </c>
      <c r="G3" s="5">
        <f>Economic_Calculations!AU3</f>
        <v>2.7616438356163896E-4</v>
      </c>
      <c r="H3" s="5">
        <f>Economic_Calculations!AX3</f>
        <v>16.048547835616439</v>
      </c>
      <c r="I3" s="5">
        <f>Economic_Calculations!AY3</f>
        <v>0.30277383561643795</v>
      </c>
      <c r="J3" s="5">
        <f>Economic_Calculations!AK3</f>
        <v>-9556.4197818181783</v>
      </c>
      <c r="K3" s="5">
        <f>Economic_Calculations!BE3</f>
        <v>118745.44020273967</v>
      </c>
      <c r="L3" s="5">
        <f>Economic_Calculations!BF3</f>
        <v>127828.65527123281</v>
      </c>
      <c r="M3" s="5">
        <f>Economic_Calculations!BJ3</f>
        <v>105120.61759999997</v>
      </c>
      <c r="N3" s="5">
        <f>Economic_Calculations!BK3</f>
        <v>233.60137244444437</v>
      </c>
    </row>
    <row r="4" spans="1:14" x14ac:dyDescent="0.35">
      <c r="A4" s="5" t="str">
        <f>Economic_Calculations!A4</f>
        <v>Cure-targeted</v>
      </c>
      <c r="B4" s="5">
        <f>Economic_Calculations!O4</f>
        <v>11</v>
      </c>
      <c r="C4" s="5">
        <f>Economic_Calculations!AF4</f>
        <v>-105120.61759999997</v>
      </c>
      <c r="D4" s="5">
        <f>Economic_Calculations!AO4</f>
        <v>18.111499999999999</v>
      </c>
      <c r="E4" s="5">
        <f>Economic_Calculations!AV4</f>
        <v>0.30277383561643795</v>
      </c>
      <c r="F4" s="5">
        <f>Economic_Calculations!AW4</f>
        <v>14.520097835616436</v>
      </c>
      <c r="G4" s="5">
        <f>Economic_Calculations!AU4</f>
        <v>2.7616438356163896E-4</v>
      </c>
      <c r="H4" s="5">
        <f>Economic_Calculations!AX4</f>
        <v>16.048547835616439</v>
      </c>
      <c r="I4" s="5">
        <f>Economic_Calculations!AY4</f>
        <v>0.30277383561643795</v>
      </c>
      <c r="J4" s="5">
        <f>Economic_Calculations!AK4</f>
        <v>-9556.4197818181783</v>
      </c>
      <c r="K4" s="5">
        <f>Economic_Calculations!BE4</f>
        <v>118745.44020273967</v>
      </c>
      <c r="L4" s="5">
        <f>Economic_Calculations!BF4</f>
        <v>127828.65527123281</v>
      </c>
      <c r="M4" s="5">
        <f>Economic_Calculations!BJ4</f>
        <v>105120.61759999997</v>
      </c>
      <c r="N4" s="5">
        <f>Economic_Calculations!BK4</f>
        <v>233.60137244444437</v>
      </c>
    </row>
    <row r="5" spans="1:14" x14ac:dyDescent="0.35">
      <c r="A5" s="5" t="str">
        <f>Economic_Calculations!A5</f>
        <v>Prevention-targeted</v>
      </c>
      <c r="B5" s="5">
        <f>Economic_Calculations!O5</f>
        <v>12</v>
      </c>
      <c r="C5" s="5">
        <f>Economic_Calculations!AF5</f>
        <v>-126527.75359999998</v>
      </c>
      <c r="D5" s="5">
        <f>Economic_Calculations!AO5</f>
        <v>19.757999999999999</v>
      </c>
      <c r="E5" s="5">
        <f>Economic_Calculations!AV5</f>
        <v>0.33032383561643791</v>
      </c>
      <c r="F5" s="5">
        <f>Economic_Calculations!AW5</f>
        <v>15.840131835616438</v>
      </c>
      <c r="G5" s="5">
        <f>Economic_Calculations!AU5</f>
        <v>2.7616438356163896E-4</v>
      </c>
      <c r="H5" s="5">
        <f>Economic_Calculations!AX5</f>
        <v>17.50753183561644</v>
      </c>
      <c r="I5" s="5">
        <f>Economic_Calculations!AY5</f>
        <v>0.33032383561643791</v>
      </c>
      <c r="J5" s="5">
        <f>Economic_Calculations!AK5</f>
        <v>-10543.979466666666</v>
      </c>
      <c r="K5" s="5">
        <f>Economic_Calculations!BE5</f>
        <v>141392.3262027397</v>
      </c>
      <c r="L5" s="5">
        <f>Economic_Calculations!BF5</f>
        <v>151302.04127123283</v>
      </c>
      <c r="M5" s="5">
        <f>Economic_Calculations!BJ5</f>
        <v>126527.75359999998</v>
      </c>
      <c r="N5" s="5">
        <f>Economic_Calculations!BK5</f>
        <v>281.17278577777773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9" customWidth="1"/>
    <col min="3" max="3" width="18" customWidth="1"/>
    <col min="4" max="4" width="39" customWidth="1"/>
    <col min="5" max="5" width="40" customWidth="1"/>
    <col min="6" max="7" width="17" customWidth="1"/>
    <col min="8" max="8" width="29" customWidth="1"/>
    <col min="9" max="9" width="26" customWidth="1"/>
    <col min="10" max="10" width="35" customWidth="1"/>
    <col min="11" max="11" width="41" customWidth="1"/>
    <col min="12" max="12" width="14" customWidth="1"/>
    <col min="13" max="13" width="35" customWidth="1"/>
    <col min="14" max="14" width="44" customWidth="1"/>
    <col min="15" max="15" width="32" customWidth="1"/>
    <col min="16" max="16" width="30" customWidth="1"/>
  </cols>
  <sheetData>
    <row r="1" spans="1:16" x14ac:dyDescent="0.35">
      <c r="A1" s="2" t="s">
        <v>60</v>
      </c>
      <c r="B1" s="2" t="s">
        <v>61</v>
      </c>
      <c r="C1" s="2" t="s">
        <v>84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89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157</v>
      </c>
      <c r="O1" s="2" t="s">
        <v>158</v>
      </c>
      <c r="P1" s="2" t="s">
        <v>99</v>
      </c>
    </row>
    <row r="2" spans="1:16" x14ac:dyDescent="0.35">
      <c r="A2" s="1" t="s">
        <v>108</v>
      </c>
      <c r="B2" s="1" t="s">
        <v>109</v>
      </c>
      <c r="C2" s="1">
        <v>4</v>
      </c>
      <c r="D2" s="1">
        <v>2.754999999999996E-2</v>
      </c>
      <c r="E2" s="1">
        <v>0.16650000000000001</v>
      </c>
      <c r="F2" s="1">
        <v>0.16650000000000001</v>
      </c>
      <c r="G2" s="1">
        <v>1.48</v>
      </c>
      <c r="H2" s="1">
        <v>1.292484</v>
      </c>
      <c r="I2" s="1">
        <v>0.1101079452054793</v>
      </c>
      <c r="J2" s="1">
        <v>5.2800439452054793</v>
      </c>
      <c r="K2" s="1">
        <v>5.8358439452054798</v>
      </c>
      <c r="L2" s="1">
        <v>6.5860000000000003</v>
      </c>
      <c r="M2" s="1">
        <v>59.814030565273512</v>
      </c>
      <c r="N2" s="1">
        <v>1.247338103308854</v>
      </c>
      <c r="O2" s="1">
        <v>1.128542857183634</v>
      </c>
      <c r="P2" s="1">
        <v>-3419.5858880694141</v>
      </c>
    </row>
    <row r="3" spans="1:16" x14ac:dyDescent="0.35">
      <c r="A3" s="1" t="s">
        <v>114</v>
      </c>
      <c r="B3" s="1" t="s">
        <v>115</v>
      </c>
      <c r="C3" s="1">
        <v>11</v>
      </c>
      <c r="D3" s="1">
        <v>2.754999999999996E-2</v>
      </c>
      <c r="E3" s="1">
        <v>0.16650000000000001</v>
      </c>
      <c r="F3" s="1">
        <v>0.16650000000000001</v>
      </c>
      <c r="G3" s="1">
        <v>1.48</v>
      </c>
      <c r="H3" s="1">
        <v>1.292484</v>
      </c>
      <c r="I3" s="1">
        <v>0.30277383561643789</v>
      </c>
      <c r="J3" s="1">
        <v>14.52009783561644</v>
      </c>
      <c r="K3" s="1">
        <v>16.048547835616439</v>
      </c>
      <c r="L3" s="1">
        <v>18.111499999999999</v>
      </c>
      <c r="M3" s="1">
        <v>59.818577001957777</v>
      </c>
      <c r="N3" s="1">
        <v>1.247340080283357</v>
      </c>
      <c r="O3" s="1">
        <v>1.1285444755197891</v>
      </c>
      <c r="P3" s="1">
        <v>-9204.609607865239</v>
      </c>
    </row>
    <row r="4" spans="1:16" x14ac:dyDescent="0.35">
      <c r="A4" s="1" t="s">
        <v>116</v>
      </c>
      <c r="B4" s="1" t="s">
        <v>117</v>
      </c>
      <c r="C4" s="1">
        <v>11</v>
      </c>
      <c r="D4" s="1">
        <v>2.754999999999996E-2</v>
      </c>
      <c r="E4" s="1">
        <v>0.16650000000000001</v>
      </c>
      <c r="F4" s="1">
        <v>0.16650000000000001</v>
      </c>
      <c r="G4" s="1">
        <v>1.48</v>
      </c>
      <c r="H4" s="1">
        <v>1.292484</v>
      </c>
      <c r="I4" s="1">
        <v>0.30277383561643789</v>
      </c>
      <c r="J4" s="1">
        <v>14.52009783561644</v>
      </c>
      <c r="K4" s="1">
        <v>16.048547835616439</v>
      </c>
      <c r="L4" s="1">
        <v>18.111499999999999</v>
      </c>
      <c r="M4" s="1">
        <v>59.818577001957777</v>
      </c>
      <c r="N4" s="1">
        <v>1.247340080283357</v>
      </c>
      <c r="O4" s="1">
        <v>1.1285444755197891</v>
      </c>
      <c r="P4" s="1">
        <v>-9204.609607865239</v>
      </c>
    </row>
    <row r="5" spans="1:16" x14ac:dyDescent="0.35">
      <c r="A5" s="1" t="s">
        <v>118</v>
      </c>
      <c r="B5" s="1" t="s">
        <v>119</v>
      </c>
      <c r="C5" s="1">
        <v>12</v>
      </c>
      <c r="D5" s="1">
        <v>2.754999999999996E-2</v>
      </c>
      <c r="E5" s="1">
        <v>0.16650000000000001</v>
      </c>
      <c r="F5" s="1">
        <v>0.16650000000000001</v>
      </c>
      <c r="G5" s="1">
        <v>1.48</v>
      </c>
      <c r="H5" s="1">
        <v>1.292484</v>
      </c>
      <c r="I5" s="1">
        <v>0.33032383561643791</v>
      </c>
      <c r="J5" s="1">
        <v>15.84013183561644</v>
      </c>
      <c r="K5" s="1">
        <v>17.50753183561644</v>
      </c>
      <c r="L5" s="1">
        <v>19.757999999999999</v>
      </c>
      <c r="M5" s="1">
        <v>59.814030565273512</v>
      </c>
      <c r="N5" s="1">
        <v>1.247338103308854</v>
      </c>
      <c r="O5" s="1">
        <v>1.1285428571836329</v>
      </c>
      <c r="P5" s="1">
        <v>-9574.6079558162819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9" customWidth="1"/>
    <col min="3" max="3" width="37" customWidth="1"/>
    <col min="4" max="4" width="18" customWidth="1"/>
    <col min="5" max="5" width="20" customWidth="1"/>
    <col min="6" max="6" width="26" customWidth="1"/>
    <col min="7" max="7" width="22" customWidth="1"/>
    <col min="8" max="8" width="20" customWidth="1"/>
    <col min="9" max="9" width="41" customWidth="1"/>
    <col min="10" max="11" width="21" customWidth="1"/>
    <col min="12" max="12" width="30" customWidth="1"/>
    <col min="13" max="16" width="20" customWidth="1"/>
    <col min="17" max="18" width="26" customWidth="1"/>
    <col min="19" max="19" width="44" customWidth="1"/>
  </cols>
  <sheetData>
    <row r="1" spans="1:19" ht="29" x14ac:dyDescent="0.35">
      <c r="A1" s="2" t="s">
        <v>60</v>
      </c>
      <c r="B1" s="2" t="s">
        <v>61</v>
      </c>
      <c r="C1" s="2" t="s">
        <v>138</v>
      </c>
      <c r="D1" s="2" t="s">
        <v>84</v>
      </c>
      <c r="E1" s="2" t="s">
        <v>88</v>
      </c>
      <c r="F1" s="2" t="s">
        <v>89</v>
      </c>
      <c r="G1" s="2" t="s">
        <v>90</v>
      </c>
      <c r="H1" s="2" t="s">
        <v>95</v>
      </c>
      <c r="I1" s="2" t="s">
        <v>94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107</v>
      </c>
    </row>
    <row r="2" spans="1:19" x14ac:dyDescent="0.35">
      <c r="A2" s="1" t="s">
        <v>108</v>
      </c>
      <c r="B2" s="1" t="s">
        <v>109</v>
      </c>
      <c r="C2" s="1" t="s">
        <v>139</v>
      </c>
      <c r="D2" s="1">
        <v>4</v>
      </c>
      <c r="E2" s="1">
        <v>6.5860000000000003</v>
      </c>
      <c r="F2" s="1">
        <v>0.1101079452054793</v>
      </c>
      <c r="G2" s="1">
        <v>5.1699359999999999</v>
      </c>
      <c r="H2" s="1">
        <v>5.2800439452054793</v>
      </c>
      <c r="I2" s="1">
        <v>5.8358439452054798</v>
      </c>
      <c r="J2" s="1">
        <v>-3030.089523231095</v>
      </c>
      <c r="K2" s="1">
        <v>-3779.546118763104</v>
      </c>
      <c r="L2" s="1">
        <v>-3419.5858880694141</v>
      </c>
      <c r="M2" s="1">
        <v>316326.16960000002</v>
      </c>
      <c r="N2" s="1">
        <v>513906.16960000002</v>
      </c>
      <c r="O2" s="1">
        <v>257558.1471342466</v>
      </c>
      <c r="P2" s="1">
        <v>415959.46549041092</v>
      </c>
      <c r="Q2" s="1">
        <v>282569.14713424648</v>
      </c>
      <c r="R2" s="1">
        <v>457644.46549041092</v>
      </c>
      <c r="S2" s="1" t="s">
        <v>140</v>
      </c>
    </row>
    <row r="3" spans="1:19" x14ac:dyDescent="0.35">
      <c r="A3" s="1" t="s">
        <v>108</v>
      </c>
      <c r="B3" s="1" t="s">
        <v>109</v>
      </c>
      <c r="C3" s="1" t="s">
        <v>141</v>
      </c>
      <c r="D3" s="1">
        <v>4</v>
      </c>
      <c r="E3" s="1">
        <v>6.5860000000000003</v>
      </c>
      <c r="F3" s="1">
        <v>3.7079452054793178E-3</v>
      </c>
      <c r="G3" s="1">
        <v>5.1699359999999999</v>
      </c>
      <c r="H3" s="1">
        <v>5.1736439452054794</v>
      </c>
      <c r="I3" s="1">
        <v>5.7294439452054799</v>
      </c>
      <c r="J3" s="1">
        <v>-3030.089523231095</v>
      </c>
      <c r="K3" s="1">
        <v>-3857.2754158108969</v>
      </c>
      <c r="L3" s="1">
        <v>-3483.0901202375389</v>
      </c>
      <c r="M3" s="1">
        <v>316326.16960000002</v>
      </c>
      <c r="N3" s="1">
        <v>513906.16960000002</v>
      </c>
      <c r="O3" s="1">
        <v>252770.1471342466</v>
      </c>
      <c r="P3" s="1">
        <v>407979.46549041092</v>
      </c>
      <c r="Q3" s="1">
        <v>277781.1471342466</v>
      </c>
      <c r="R3" s="1">
        <v>449664.46549041098</v>
      </c>
      <c r="S3" s="1" t="s">
        <v>140</v>
      </c>
    </row>
    <row r="4" spans="1:19" x14ac:dyDescent="0.35">
      <c r="A4" s="1" t="s">
        <v>108</v>
      </c>
      <c r="B4" s="1" t="s">
        <v>109</v>
      </c>
      <c r="C4" s="1" t="s">
        <v>142</v>
      </c>
      <c r="D4" s="1">
        <v>4</v>
      </c>
      <c r="E4" s="1">
        <v>0.66600000000000004</v>
      </c>
      <c r="F4" s="1">
        <v>0.1101079452054793</v>
      </c>
      <c r="G4" s="1">
        <v>5.1699359999999999</v>
      </c>
      <c r="H4" s="1">
        <v>5.2800439452054793</v>
      </c>
      <c r="I4" s="1">
        <v>5.8358439452054798</v>
      </c>
      <c r="J4" s="1">
        <v>-29964.218618618612</v>
      </c>
      <c r="K4" s="1">
        <v>-3779.546118763104</v>
      </c>
      <c r="L4" s="1">
        <v>-3419.5858880694141</v>
      </c>
      <c r="M4" s="1">
        <v>49926.169599999987</v>
      </c>
      <c r="N4" s="1">
        <v>69906.169599999994</v>
      </c>
      <c r="O4" s="1">
        <v>257558.1471342466</v>
      </c>
      <c r="P4" s="1">
        <v>415959.46549041092</v>
      </c>
      <c r="Q4" s="1">
        <v>282569.14713424648</v>
      </c>
      <c r="R4" s="1">
        <v>457644.46549041092</v>
      </c>
      <c r="S4" s="1" t="s">
        <v>140</v>
      </c>
    </row>
    <row r="5" spans="1:19" x14ac:dyDescent="0.35">
      <c r="A5" s="1" t="s">
        <v>108</v>
      </c>
      <c r="B5" s="1" t="s">
        <v>109</v>
      </c>
      <c r="C5" s="1" t="s">
        <v>143</v>
      </c>
      <c r="D5" s="1">
        <v>4</v>
      </c>
      <c r="E5" s="1">
        <v>3.6259999999999999</v>
      </c>
      <c r="F5" s="1">
        <v>0.1101079452054793</v>
      </c>
      <c r="G5" s="1">
        <v>2.5849679999999999</v>
      </c>
      <c r="H5" s="1">
        <v>2.6950759452054789</v>
      </c>
      <c r="I5" s="1">
        <v>3.250875945205479</v>
      </c>
      <c r="J5" s="1">
        <v>-5503.6319911748469</v>
      </c>
      <c r="K5" s="1">
        <v>-7404.6780149189772</v>
      </c>
      <c r="L5" s="1">
        <v>-6138.705363221301</v>
      </c>
      <c r="M5" s="1">
        <v>183126.16959999999</v>
      </c>
      <c r="N5" s="1">
        <v>291906.16960000002</v>
      </c>
      <c r="O5" s="1">
        <v>141234.5871342466</v>
      </c>
      <c r="P5" s="1">
        <v>222086.86549041091</v>
      </c>
      <c r="Q5" s="1">
        <v>166245.5871342466</v>
      </c>
      <c r="R5" s="1">
        <v>263771.86549041088</v>
      </c>
      <c r="S5" s="1" t="s">
        <v>140</v>
      </c>
    </row>
    <row r="6" spans="1:19" x14ac:dyDescent="0.35">
      <c r="A6" s="1" t="s">
        <v>108</v>
      </c>
      <c r="B6" s="1" t="s">
        <v>109</v>
      </c>
      <c r="C6" s="1" t="s">
        <v>144</v>
      </c>
      <c r="D6" s="1">
        <v>4</v>
      </c>
      <c r="E6" s="1">
        <v>9.5459999999999994</v>
      </c>
      <c r="F6" s="1">
        <v>0.1101079452054793</v>
      </c>
      <c r="G6" s="1">
        <v>7.7549039999999989</v>
      </c>
      <c r="H6" s="1">
        <v>7.8650119452054783</v>
      </c>
      <c r="I6" s="1">
        <v>8.420811945205477</v>
      </c>
      <c r="J6" s="1">
        <v>-2090.52688036874</v>
      </c>
      <c r="K6" s="1">
        <v>-2537.3349384631638</v>
      </c>
      <c r="L6" s="1">
        <v>-2369.8628742519718</v>
      </c>
      <c r="M6" s="1">
        <v>449526.16960000002</v>
      </c>
      <c r="N6" s="1">
        <v>735906.16960000002</v>
      </c>
      <c r="O6" s="1">
        <v>373881.70713424648</v>
      </c>
      <c r="P6" s="1">
        <v>609832.0654904109</v>
      </c>
      <c r="Q6" s="1">
        <v>398892.70713424648</v>
      </c>
      <c r="R6" s="1">
        <v>651517.06549041078</v>
      </c>
      <c r="S6" s="1" t="s">
        <v>140</v>
      </c>
    </row>
    <row r="7" spans="1:19" x14ac:dyDescent="0.35">
      <c r="A7" s="1" t="s">
        <v>108</v>
      </c>
      <c r="B7" s="1" t="s">
        <v>109</v>
      </c>
      <c r="C7" s="1" t="s">
        <v>145</v>
      </c>
      <c r="D7" s="1">
        <v>4</v>
      </c>
      <c r="E7" s="1">
        <v>3.6259999999999999</v>
      </c>
      <c r="F7" s="1">
        <v>0.1101079452054793</v>
      </c>
      <c r="G7" s="1">
        <v>2.5849679999999999</v>
      </c>
      <c r="H7" s="1">
        <v>2.6950759452054789</v>
      </c>
      <c r="I7" s="1">
        <v>3.250875945205479</v>
      </c>
      <c r="J7" s="1">
        <v>-5503.6319911748469</v>
      </c>
      <c r="K7" s="1">
        <v>-7404.6780149189772</v>
      </c>
      <c r="L7" s="1">
        <v>-6138.705363221301</v>
      </c>
      <c r="M7" s="1">
        <v>183126.16959999999</v>
      </c>
      <c r="N7" s="1">
        <v>291906.16960000002</v>
      </c>
      <c r="O7" s="1">
        <v>141234.5871342466</v>
      </c>
      <c r="P7" s="1">
        <v>222086.86549041091</v>
      </c>
      <c r="Q7" s="1">
        <v>166245.5871342466</v>
      </c>
      <c r="R7" s="1">
        <v>263771.86549041088</v>
      </c>
      <c r="S7" s="1" t="s">
        <v>140</v>
      </c>
    </row>
    <row r="8" spans="1:19" x14ac:dyDescent="0.35">
      <c r="A8" s="1" t="s">
        <v>108</v>
      </c>
      <c r="B8" s="1" t="s">
        <v>109</v>
      </c>
      <c r="C8" s="1" t="s">
        <v>146</v>
      </c>
      <c r="D8" s="1">
        <v>4</v>
      </c>
      <c r="E8" s="1">
        <v>9.5460000000000012</v>
      </c>
      <c r="F8" s="1">
        <v>0.1101079452054793</v>
      </c>
      <c r="G8" s="1">
        <v>7.7549040000000007</v>
      </c>
      <c r="H8" s="1">
        <v>7.8650119452054801</v>
      </c>
      <c r="I8" s="1">
        <v>8.4208119452054788</v>
      </c>
      <c r="J8" s="1">
        <v>-2090.52688036874</v>
      </c>
      <c r="K8" s="1">
        <v>-2537.3349384631638</v>
      </c>
      <c r="L8" s="1">
        <v>-2369.8628742519718</v>
      </c>
      <c r="M8" s="1">
        <v>449526.16960000002</v>
      </c>
      <c r="N8" s="1">
        <v>735906.16960000014</v>
      </c>
      <c r="O8" s="1">
        <v>373881.70713424659</v>
      </c>
      <c r="P8" s="1">
        <v>609832.06549041101</v>
      </c>
      <c r="Q8" s="1">
        <v>398892.70713424659</v>
      </c>
      <c r="R8" s="1">
        <v>651517.0654904109</v>
      </c>
      <c r="S8" s="1" t="s">
        <v>140</v>
      </c>
    </row>
    <row r="9" spans="1:19" x14ac:dyDescent="0.35">
      <c r="A9" s="1" t="s">
        <v>114</v>
      </c>
      <c r="B9" s="1" t="s">
        <v>115</v>
      </c>
      <c r="C9" s="1" t="s">
        <v>139</v>
      </c>
      <c r="D9" s="1">
        <v>11</v>
      </c>
      <c r="E9" s="1">
        <v>18.111499999999999</v>
      </c>
      <c r="F9" s="1">
        <v>0.30277383561643789</v>
      </c>
      <c r="G9" s="1">
        <v>14.217324</v>
      </c>
      <c r="H9" s="1">
        <v>14.52009783561644</v>
      </c>
      <c r="I9" s="1">
        <v>16.048547835616439</v>
      </c>
      <c r="J9" s="1">
        <v>-8156.1779863622542</v>
      </c>
      <c r="K9" s="1">
        <v>-10173.52770431444</v>
      </c>
      <c r="L9" s="1">
        <v>-9204.609607865239</v>
      </c>
      <c r="M9" s="1">
        <v>962738.1176</v>
      </c>
      <c r="N9" s="1">
        <v>1506083.1176</v>
      </c>
      <c r="O9" s="1">
        <v>801125.02020273963</v>
      </c>
      <c r="P9" s="1">
        <v>1236727.9552712331</v>
      </c>
      <c r="Q9" s="1">
        <v>869905.27020273975</v>
      </c>
      <c r="R9" s="1">
        <v>1351361.7052712331</v>
      </c>
      <c r="S9" s="1" t="s">
        <v>140</v>
      </c>
    </row>
    <row r="10" spans="1:19" x14ac:dyDescent="0.35">
      <c r="A10" s="1" t="s">
        <v>114</v>
      </c>
      <c r="B10" s="1" t="s">
        <v>115</v>
      </c>
      <c r="C10" s="1" t="s">
        <v>141</v>
      </c>
      <c r="D10" s="1">
        <v>11</v>
      </c>
      <c r="E10" s="1">
        <v>18.111499999999999</v>
      </c>
      <c r="F10" s="1">
        <v>7.9998835616437947E-2</v>
      </c>
      <c r="G10" s="1">
        <v>14.217324</v>
      </c>
      <c r="H10" s="1">
        <v>14.297322835616439</v>
      </c>
      <c r="I10" s="1">
        <v>15.825772835616441</v>
      </c>
      <c r="J10" s="1">
        <v>-8156.1779863622542</v>
      </c>
      <c r="K10" s="1">
        <v>-10332.047425830609</v>
      </c>
      <c r="L10" s="1">
        <v>-9334.1803357337285</v>
      </c>
      <c r="M10" s="1">
        <v>962738.1176</v>
      </c>
      <c r="N10" s="1">
        <v>1506083.1176</v>
      </c>
      <c r="O10" s="1">
        <v>791100.14520273975</v>
      </c>
      <c r="P10" s="1">
        <v>1220019.8302712331</v>
      </c>
      <c r="Q10" s="1">
        <v>859880.39520273975</v>
      </c>
      <c r="R10" s="1">
        <v>1334653.5802712331</v>
      </c>
      <c r="S10" s="1" t="s">
        <v>140</v>
      </c>
    </row>
    <row r="11" spans="1:19" x14ac:dyDescent="0.35">
      <c r="A11" s="1" t="s">
        <v>114</v>
      </c>
      <c r="B11" s="1" t="s">
        <v>115</v>
      </c>
      <c r="C11" s="1" t="s">
        <v>142</v>
      </c>
      <c r="D11" s="1">
        <v>11</v>
      </c>
      <c r="E11" s="1">
        <v>1.8314999999999999</v>
      </c>
      <c r="F11" s="1">
        <v>0.30277383561643789</v>
      </c>
      <c r="G11" s="1">
        <v>14.217324</v>
      </c>
      <c r="H11" s="1">
        <v>14.52009783561644</v>
      </c>
      <c r="I11" s="1">
        <v>16.048547835616439</v>
      </c>
      <c r="J11" s="1">
        <v>-80655.537865137841</v>
      </c>
      <c r="K11" s="1">
        <v>-10173.52770431444</v>
      </c>
      <c r="L11" s="1">
        <v>-9204.609607865239</v>
      </c>
      <c r="M11" s="1">
        <v>230138.1176</v>
      </c>
      <c r="N11" s="1">
        <v>285083.1176</v>
      </c>
      <c r="O11" s="1">
        <v>801125.02020273963</v>
      </c>
      <c r="P11" s="1">
        <v>1236727.9552712331</v>
      </c>
      <c r="Q11" s="1">
        <v>869905.27020273975</v>
      </c>
      <c r="R11" s="1">
        <v>1351361.7052712331</v>
      </c>
      <c r="S11" s="1" t="s">
        <v>140</v>
      </c>
    </row>
    <row r="12" spans="1:19" x14ac:dyDescent="0.35">
      <c r="A12" s="1" t="s">
        <v>114</v>
      </c>
      <c r="B12" s="1" t="s">
        <v>115</v>
      </c>
      <c r="C12" s="1" t="s">
        <v>143</v>
      </c>
      <c r="D12" s="1">
        <v>11</v>
      </c>
      <c r="E12" s="1">
        <v>9.9714999999999989</v>
      </c>
      <c r="F12" s="1">
        <v>0.30277383561643789</v>
      </c>
      <c r="G12" s="1">
        <v>7.1086619999999998</v>
      </c>
      <c r="H12" s="1">
        <v>7.4114358356164383</v>
      </c>
      <c r="I12" s="1">
        <v>8.9398858356164386</v>
      </c>
      <c r="J12" s="1">
        <v>-14814.282465025321</v>
      </c>
      <c r="K12" s="1">
        <v>-19931.443903233019</v>
      </c>
      <c r="L12" s="1">
        <v>-16523.77002528177</v>
      </c>
      <c r="M12" s="1">
        <v>596438.11759999988</v>
      </c>
      <c r="N12" s="1">
        <v>895583.11759999988</v>
      </c>
      <c r="O12" s="1">
        <v>481235.23020273971</v>
      </c>
      <c r="P12" s="1">
        <v>703578.30527123285</v>
      </c>
      <c r="Q12" s="1">
        <v>550015.48020273971</v>
      </c>
      <c r="R12" s="1">
        <v>818212.05527123285</v>
      </c>
      <c r="S12" s="1" t="s">
        <v>140</v>
      </c>
    </row>
    <row r="13" spans="1:19" x14ac:dyDescent="0.35">
      <c r="A13" s="1" t="s">
        <v>114</v>
      </c>
      <c r="B13" s="1" t="s">
        <v>115</v>
      </c>
      <c r="C13" s="1" t="s">
        <v>144</v>
      </c>
      <c r="D13" s="1">
        <v>11</v>
      </c>
      <c r="E13" s="1">
        <v>26.2515</v>
      </c>
      <c r="F13" s="1">
        <v>0.30277383561643789</v>
      </c>
      <c r="G13" s="1">
        <v>21.325986</v>
      </c>
      <c r="H13" s="1">
        <v>21.628759835616439</v>
      </c>
      <c r="I13" s="1">
        <v>23.157209835616442</v>
      </c>
      <c r="J13" s="1">
        <v>-5627.1305487305472</v>
      </c>
      <c r="K13" s="1">
        <v>-6829.8237496144366</v>
      </c>
      <c r="L13" s="1">
        <v>-6379.0335126126256</v>
      </c>
      <c r="M13" s="1">
        <v>1329038.1176</v>
      </c>
      <c r="N13" s="1">
        <v>2116583.1176</v>
      </c>
      <c r="O13" s="1">
        <v>1121014.810202739</v>
      </c>
      <c r="P13" s="1">
        <v>1769877.605271233</v>
      </c>
      <c r="Q13" s="1">
        <v>1189795.0602027399</v>
      </c>
      <c r="R13" s="1">
        <v>1884511.355271233</v>
      </c>
      <c r="S13" s="1" t="s">
        <v>140</v>
      </c>
    </row>
    <row r="14" spans="1:19" x14ac:dyDescent="0.35">
      <c r="A14" s="1" t="s">
        <v>114</v>
      </c>
      <c r="B14" s="1" t="s">
        <v>115</v>
      </c>
      <c r="C14" s="1" t="s">
        <v>145</v>
      </c>
      <c r="D14" s="1">
        <v>11</v>
      </c>
      <c r="E14" s="1">
        <v>9.9714999999999989</v>
      </c>
      <c r="F14" s="1">
        <v>0.30277383561643789</v>
      </c>
      <c r="G14" s="1">
        <v>7.1086619999999998</v>
      </c>
      <c r="H14" s="1">
        <v>7.4114358356164383</v>
      </c>
      <c r="I14" s="1">
        <v>8.9398858356164386</v>
      </c>
      <c r="J14" s="1">
        <v>-14814.282465025321</v>
      </c>
      <c r="K14" s="1">
        <v>-19931.443903233019</v>
      </c>
      <c r="L14" s="1">
        <v>-16523.77002528177</v>
      </c>
      <c r="M14" s="1">
        <v>596438.11759999988</v>
      </c>
      <c r="N14" s="1">
        <v>895583.11759999988</v>
      </c>
      <c r="O14" s="1">
        <v>481235.23020273971</v>
      </c>
      <c r="P14" s="1">
        <v>703578.30527123285</v>
      </c>
      <c r="Q14" s="1">
        <v>550015.48020273971</v>
      </c>
      <c r="R14" s="1">
        <v>818212.05527123285</v>
      </c>
      <c r="S14" s="1" t="s">
        <v>140</v>
      </c>
    </row>
    <row r="15" spans="1:19" x14ac:dyDescent="0.35">
      <c r="A15" s="1" t="s">
        <v>114</v>
      </c>
      <c r="B15" s="1" t="s">
        <v>115</v>
      </c>
      <c r="C15" s="1" t="s">
        <v>146</v>
      </c>
      <c r="D15" s="1">
        <v>11</v>
      </c>
      <c r="E15" s="1">
        <v>26.2515</v>
      </c>
      <c r="F15" s="1">
        <v>0.30277383561643789</v>
      </c>
      <c r="G15" s="1">
        <v>21.325986</v>
      </c>
      <c r="H15" s="1">
        <v>21.628759835616439</v>
      </c>
      <c r="I15" s="1">
        <v>23.157209835616449</v>
      </c>
      <c r="J15" s="1">
        <v>-5627.1305487305472</v>
      </c>
      <c r="K15" s="1">
        <v>-6829.8237496144347</v>
      </c>
      <c r="L15" s="1">
        <v>-6379.0335126126238</v>
      </c>
      <c r="M15" s="1">
        <v>1329038.1176</v>
      </c>
      <c r="N15" s="1">
        <v>2116583.1176</v>
      </c>
      <c r="O15" s="1">
        <v>1121014.8102027399</v>
      </c>
      <c r="P15" s="1">
        <v>1769877.605271233</v>
      </c>
      <c r="Q15" s="1">
        <v>1189795.0602027399</v>
      </c>
      <c r="R15" s="1">
        <v>1884511.355271233</v>
      </c>
      <c r="S15" s="1" t="s">
        <v>140</v>
      </c>
    </row>
    <row r="16" spans="1:19" x14ac:dyDescent="0.35">
      <c r="A16" s="1" t="s">
        <v>116</v>
      </c>
      <c r="B16" s="1" t="s">
        <v>117</v>
      </c>
      <c r="C16" s="1" t="s">
        <v>139</v>
      </c>
      <c r="D16" s="1">
        <v>11</v>
      </c>
      <c r="E16" s="1">
        <v>18.111499999999999</v>
      </c>
      <c r="F16" s="1">
        <v>0.30277383561643789</v>
      </c>
      <c r="G16" s="1">
        <v>14.217324</v>
      </c>
      <c r="H16" s="1">
        <v>14.52009783561644</v>
      </c>
      <c r="I16" s="1">
        <v>16.048547835616439</v>
      </c>
      <c r="J16" s="1">
        <v>-8156.1779863622542</v>
      </c>
      <c r="K16" s="1">
        <v>-10173.52770431444</v>
      </c>
      <c r="L16" s="1">
        <v>-9204.609607865239</v>
      </c>
      <c r="M16" s="1">
        <v>962738.1176</v>
      </c>
      <c r="N16" s="1">
        <v>1506083.1176</v>
      </c>
      <c r="O16" s="1">
        <v>801125.02020273963</v>
      </c>
      <c r="P16" s="1">
        <v>1236727.9552712331</v>
      </c>
      <c r="Q16" s="1">
        <v>869905.27020273975</v>
      </c>
      <c r="R16" s="1">
        <v>1351361.7052712331</v>
      </c>
      <c r="S16" s="1" t="s">
        <v>140</v>
      </c>
    </row>
    <row r="17" spans="1:19" x14ac:dyDescent="0.35">
      <c r="A17" s="1" t="s">
        <v>116</v>
      </c>
      <c r="B17" s="1" t="s">
        <v>117</v>
      </c>
      <c r="C17" s="1" t="s">
        <v>141</v>
      </c>
      <c r="D17" s="1">
        <v>11</v>
      </c>
      <c r="E17" s="1">
        <v>18.111499999999999</v>
      </c>
      <c r="F17" s="1">
        <v>7.9998835616437947E-2</v>
      </c>
      <c r="G17" s="1">
        <v>14.217324</v>
      </c>
      <c r="H17" s="1">
        <v>14.297322835616439</v>
      </c>
      <c r="I17" s="1">
        <v>15.825772835616441</v>
      </c>
      <c r="J17" s="1">
        <v>-8156.1779863622542</v>
      </c>
      <c r="K17" s="1">
        <v>-10332.047425830609</v>
      </c>
      <c r="L17" s="1">
        <v>-9334.1803357337285</v>
      </c>
      <c r="M17" s="1">
        <v>962738.1176</v>
      </c>
      <c r="N17" s="1">
        <v>1506083.1176</v>
      </c>
      <c r="O17" s="1">
        <v>791100.14520273975</v>
      </c>
      <c r="P17" s="1">
        <v>1220019.8302712331</v>
      </c>
      <c r="Q17" s="1">
        <v>859880.39520273975</v>
      </c>
      <c r="R17" s="1">
        <v>1334653.5802712331</v>
      </c>
      <c r="S17" s="1" t="s">
        <v>140</v>
      </c>
    </row>
    <row r="18" spans="1:19" x14ac:dyDescent="0.35">
      <c r="A18" s="1" t="s">
        <v>116</v>
      </c>
      <c r="B18" s="1" t="s">
        <v>117</v>
      </c>
      <c r="C18" s="1" t="s">
        <v>142</v>
      </c>
      <c r="D18" s="1">
        <v>11</v>
      </c>
      <c r="E18" s="1">
        <v>1.8314999999999999</v>
      </c>
      <c r="F18" s="1">
        <v>0.30277383561643789</v>
      </c>
      <c r="G18" s="1">
        <v>14.217324</v>
      </c>
      <c r="H18" s="1">
        <v>14.52009783561644</v>
      </c>
      <c r="I18" s="1">
        <v>16.048547835616439</v>
      </c>
      <c r="J18" s="1">
        <v>-80655.537865137841</v>
      </c>
      <c r="K18" s="1">
        <v>-10173.52770431444</v>
      </c>
      <c r="L18" s="1">
        <v>-9204.609607865239</v>
      </c>
      <c r="M18" s="1">
        <v>230138.1176</v>
      </c>
      <c r="N18" s="1">
        <v>285083.1176</v>
      </c>
      <c r="O18" s="1">
        <v>801125.02020273963</v>
      </c>
      <c r="P18" s="1">
        <v>1236727.9552712331</v>
      </c>
      <c r="Q18" s="1">
        <v>869905.27020273975</v>
      </c>
      <c r="R18" s="1">
        <v>1351361.7052712331</v>
      </c>
      <c r="S18" s="1" t="s">
        <v>140</v>
      </c>
    </row>
    <row r="19" spans="1:19" x14ac:dyDescent="0.35">
      <c r="A19" s="1" t="s">
        <v>116</v>
      </c>
      <c r="B19" s="1" t="s">
        <v>117</v>
      </c>
      <c r="C19" s="1" t="s">
        <v>143</v>
      </c>
      <c r="D19" s="1">
        <v>11</v>
      </c>
      <c r="E19" s="1">
        <v>9.9714999999999989</v>
      </c>
      <c r="F19" s="1">
        <v>0.30277383561643789</v>
      </c>
      <c r="G19" s="1">
        <v>7.1086619999999998</v>
      </c>
      <c r="H19" s="1">
        <v>7.4114358356164383</v>
      </c>
      <c r="I19" s="1">
        <v>8.9398858356164386</v>
      </c>
      <c r="J19" s="1">
        <v>-14814.282465025321</v>
      </c>
      <c r="K19" s="1">
        <v>-19931.443903233019</v>
      </c>
      <c r="L19" s="1">
        <v>-16523.77002528177</v>
      </c>
      <c r="M19" s="1">
        <v>596438.11759999988</v>
      </c>
      <c r="N19" s="1">
        <v>895583.11759999988</v>
      </c>
      <c r="O19" s="1">
        <v>481235.23020273971</v>
      </c>
      <c r="P19" s="1">
        <v>703578.30527123285</v>
      </c>
      <c r="Q19" s="1">
        <v>550015.48020273971</v>
      </c>
      <c r="R19" s="1">
        <v>818212.05527123285</v>
      </c>
      <c r="S19" s="1" t="s">
        <v>140</v>
      </c>
    </row>
    <row r="20" spans="1:19" x14ac:dyDescent="0.35">
      <c r="A20" s="1" t="s">
        <v>116</v>
      </c>
      <c r="B20" s="1" t="s">
        <v>117</v>
      </c>
      <c r="C20" s="1" t="s">
        <v>144</v>
      </c>
      <c r="D20" s="1">
        <v>11</v>
      </c>
      <c r="E20" s="1">
        <v>26.2515</v>
      </c>
      <c r="F20" s="1">
        <v>0.30277383561643789</v>
      </c>
      <c r="G20" s="1">
        <v>21.325986</v>
      </c>
      <c r="H20" s="1">
        <v>21.628759835616439</v>
      </c>
      <c r="I20" s="1">
        <v>23.157209835616442</v>
      </c>
      <c r="J20" s="1">
        <v>-5627.1305487305472</v>
      </c>
      <c r="K20" s="1">
        <v>-6829.8237496144366</v>
      </c>
      <c r="L20" s="1">
        <v>-6379.0335126126256</v>
      </c>
      <c r="M20" s="1">
        <v>1329038.1176</v>
      </c>
      <c r="N20" s="1">
        <v>2116583.1176</v>
      </c>
      <c r="O20" s="1">
        <v>1121014.810202739</v>
      </c>
      <c r="P20" s="1">
        <v>1769877.605271233</v>
      </c>
      <c r="Q20" s="1">
        <v>1189795.0602027399</v>
      </c>
      <c r="R20" s="1">
        <v>1884511.355271233</v>
      </c>
      <c r="S20" s="1" t="s">
        <v>140</v>
      </c>
    </row>
    <row r="21" spans="1:19" x14ac:dyDescent="0.35">
      <c r="A21" s="1" t="s">
        <v>116</v>
      </c>
      <c r="B21" s="1" t="s">
        <v>117</v>
      </c>
      <c r="C21" s="1" t="s">
        <v>145</v>
      </c>
      <c r="D21" s="1">
        <v>11</v>
      </c>
      <c r="E21" s="1">
        <v>9.9714999999999989</v>
      </c>
      <c r="F21" s="1">
        <v>0.30277383561643789</v>
      </c>
      <c r="G21" s="1">
        <v>7.1086619999999998</v>
      </c>
      <c r="H21" s="1">
        <v>7.4114358356164383</v>
      </c>
      <c r="I21" s="1">
        <v>8.9398858356164386</v>
      </c>
      <c r="J21" s="1">
        <v>-14814.282465025321</v>
      </c>
      <c r="K21" s="1">
        <v>-19931.443903233019</v>
      </c>
      <c r="L21" s="1">
        <v>-16523.77002528177</v>
      </c>
      <c r="M21" s="1">
        <v>596438.11759999988</v>
      </c>
      <c r="N21" s="1">
        <v>895583.11759999988</v>
      </c>
      <c r="O21" s="1">
        <v>481235.23020273971</v>
      </c>
      <c r="P21" s="1">
        <v>703578.30527123285</v>
      </c>
      <c r="Q21" s="1">
        <v>550015.48020273971</v>
      </c>
      <c r="R21" s="1">
        <v>818212.05527123285</v>
      </c>
      <c r="S21" s="1" t="s">
        <v>140</v>
      </c>
    </row>
    <row r="22" spans="1:19" x14ac:dyDescent="0.35">
      <c r="A22" s="1" t="s">
        <v>116</v>
      </c>
      <c r="B22" s="1" t="s">
        <v>117</v>
      </c>
      <c r="C22" s="1" t="s">
        <v>146</v>
      </c>
      <c r="D22" s="1">
        <v>11</v>
      </c>
      <c r="E22" s="1">
        <v>26.2515</v>
      </c>
      <c r="F22" s="1">
        <v>0.30277383561643789</v>
      </c>
      <c r="G22" s="1">
        <v>21.325986</v>
      </c>
      <c r="H22" s="1">
        <v>21.628759835616439</v>
      </c>
      <c r="I22" s="1">
        <v>23.157209835616449</v>
      </c>
      <c r="J22" s="1">
        <v>-5627.1305487305472</v>
      </c>
      <c r="K22" s="1">
        <v>-6829.8237496144347</v>
      </c>
      <c r="L22" s="1">
        <v>-6379.0335126126238</v>
      </c>
      <c r="M22" s="1">
        <v>1329038.1176</v>
      </c>
      <c r="N22" s="1">
        <v>2116583.1176</v>
      </c>
      <c r="O22" s="1">
        <v>1121014.8102027399</v>
      </c>
      <c r="P22" s="1">
        <v>1769877.605271233</v>
      </c>
      <c r="Q22" s="1">
        <v>1189795.0602027399</v>
      </c>
      <c r="R22" s="1">
        <v>1884511.355271233</v>
      </c>
      <c r="S22" s="1" t="s">
        <v>140</v>
      </c>
    </row>
    <row r="23" spans="1:19" x14ac:dyDescent="0.35">
      <c r="A23" s="1" t="s">
        <v>118</v>
      </c>
      <c r="B23" s="1" t="s">
        <v>119</v>
      </c>
      <c r="C23" s="1" t="s">
        <v>139</v>
      </c>
      <c r="D23" s="1">
        <v>12</v>
      </c>
      <c r="E23" s="1">
        <v>19.757999999999999</v>
      </c>
      <c r="F23" s="1">
        <v>0.33032383561643791</v>
      </c>
      <c r="G23" s="1">
        <v>15.509808</v>
      </c>
      <c r="H23" s="1">
        <v>15.84013183561644</v>
      </c>
      <c r="I23" s="1">
        <v>17.50753183561644</v>
      </c>
      <c r="J23" s="1">
        <v>-8484.0446199008002</v>
      </c>
      <c r="K23" s="1">
        <v>-10582.47212457475</v>
      </c>
      <c r="L23" s="1">
        <v>-9574.6079558162819</v>
      </c>
      <c r="M23" s="1">
        <v>1056737.7535999999</v>
      </c>
      <c r="N23" s="1">
        <v>1649477.7535999999</v>
      </c>
      <c r="O23" s="1">
        <v>880433.6862027396</v>
      </c>
      <c r="P23" s="1">
        <v>1355637.6412712331</v>
      </c>
      <c r="Q23" s="1">
        <v>955466.68620273983</v>
      </c>
      <c r="R23" s="1">
        <v>1480692.6412712331</v>
      </c>
      <c r="S23" s="1" t="s">
        <v>140</v>
      </c>
    </row>
    <row r="24" spans="1:19" x14ac:dyDescent="0.35">
      <c r="A24" s="1" t="s">
        <v>118</v>
      </c>
      <c r="B24" s="1" t="s">
        <v>119</v>
      </c>
      <c r="C24" s="1" t="s">
        <v>141</v>
      </c>
      <c r="D24" s="1">
        <v>12</v>
      </c>
      <c r="E24" s="1">
        <v>19.757999999999999</v>
      </c>
      <c r="F24" s="1">
        <v>0.1241738356164379</v>
      </c>
      <c r="G24" s="1">
        <v>15.509808</v>
      </c>
      <c r="H24" s="1">
        <v>15.63398183561644</v>
      </c>
      <c r="I24" s="1">
        <v>17.301381835616439</v>
      </c>
      <c r="J24" s="1">
        <v>-8484.0446199008002</v>
      </c>
      <c r="K24" s="1">
        <v>-10722.01281557844</v>
      </c>
      <c r="L24" s="1">
        <v>-9688.691642821459</v>
      </c>
      <c r="M24" s="1">
        <v>1056737.7535999999</v>
      </c>
      <c r="N24" s="1">
        <v>1649477.7535999999</v>
      </c>
      <c r="O24" s="1">
        <v>871156.93620273983</v>
      </c>
      <c r="P24" s="1">
        <v>1340176.3912712331</v>
      </c>
      <c r="Q24" s="1">
        <v>946189.93620273983</v>
      </c>
      <c r="R24" s="1">
        <v>1465231.3912712331</v>
      </c>
      <c r="S24" s="1" t="s">
        <v>140</v>
      </c>
    </row>
    <row r="25" spans="1:19" x14ac:dyDescent="0.35">
      <c r="A25" s="1" t="s">
        <v>118</v>
      </c>
      <c r="B25" s="1" t="s">
        <v>119</v>
      </c>
      <c r="C25" s="1" t="s">
        <v>142</v>
      </c>
      <c r="D25" s="1">
        <v>12</v>
      </c>
      <c r="E25" s="1">
        <v>1.998</v>
      </c>
      <c r="F25" s="1">
        <v>0.33032383561643791</v>
      </c>
      <c r="G25" s="1">
        <v>15.509808</v>
      </c>
      <c r="H25" s="1">
        <v>15.84013183561644</v>
      </c>
      <c r="I25" s="1">
        <v>17.50753183561644</v>
      </c>
      <c r="J25" s="1">
        <v>-83897.774574574563</v>
      </c>
      <c r="K25" s="1">
        <v>-10582.47212457475</v>
      </c>
      <c r="L25" s="1">
        <v>-9574.6079558162819</v>
      </c>
      <c r="M25" s="1">
        <v>257537.7536</v>
      </c>
      <c r="N25" s="1">
        <v>317477.75360000011</v>
      </c>
      <c r="O25" s="1">
        <v>880433.6862027396</v>
      </c>
      <c r="P25" s="1">
        <v>1355637.6412712331</v>
      </c>
      <c r="Q25" s="1">
        <v>955466.68620273983</v>
      </c>
      <c r="R25" s="1">
        <v>1480692.6412712331</v>
      </c>
      <c r="S25" s="1" t="s">
        <v>140</v>
      </c>
    </row>
    <row r="26" spans="1:19" x14ac:dyDescent="0.35">
      <c r="A26" s="1" t="s">
        <v>118</v>
      </c>
      <c r="B26" s="1" t="s">
        <v>119</v>
      </c>
      <c r="C26" s="1" t="s">
        <v>143</v>
      </c>
      <c r="D26" s="1">
        <v>12</v>
      </c>
      <c r="E26" s="1">
        <v>10.878</v>
      </c>
      <c r="F26" s="1">
        <v>0.33032383561643791</v>
      </c>
      <c r="G26" s="1">
        <v>7.7549039999999998</v>
      </c>
      <c r="H26" s="1">
        <v>8.085227835616438</v>
      </c>
      <c r="I26" s="1">
        <v>9.7526278356164386</v>
      </c>
      <c r="J26" s="1">
        <v>-15409.795330023901</v>
      </c>
      <c r="K26" s="1">
        <v>-20732.59492596842</v>
      </c>
      <c r="L26" s="1">
        <v>-17187.957586961958</v>
      </c>
      <c r="M26" s="1">
        <v>657137.75359999994</v>
      </c>
      <c r="N26" s="1">
        <v>983477.75359999994</v>
      </c>
      <c r="O26" s="1">
        <v>531463.00620273966</v>
      </c>
      <c r="P26" s="1">
        <v>774019.84127123281</v>
      </c>
      <c r="Q26" s="1">
        <v>606496.00620273966</v>
      </c>
      <c r="R26" s="1">
        <v>899074.84127123281</v>
      </c>
      <c r="S26" s="1" t="s">
        <v>140</v>
      </c>
    </row>
    <row r="27" spans="1:19" x14ac:dyDescent="0.35">
      <c r="A27" s="1" t="s">
        <v>118</v>
      </c>
      <c r="B27" s="1" t="s">
        <v>119</v>
      </c>
      <c r="C27" s="1" t="s">
        <v>144</v>
      </c>
      <c r="D27" s="1">
        <v>12</v>
      </c>
      <c r="E27" s="1">
        <v>28.638000000000002</v>
      </c>
      <c r="F27" s="1">
        <v>0.33032383561643791</v>
      </c>
      <c r="G27" s="1">
        <v>23.264711999999999</v>
      </c>
      <c r="H27" s="1">
        <v>23.595035835616439</v>
      </c>
      <c r="I27" s="1">
        <v>25.26243583561644</v>
      </c>
      <c r="J27" s="1">
        <v>-5853.3331098540402</v>
      </c>
      <c r="K27" s="1">
        <v>-7104.3652897092798</v>
      </c>
      <c r="L27" s="1">
        <v>-6635.4548979662814</v>
      </c>
      <c r="M27" s="1">
        <v>1456337.7535999999</v>
      </c>
      <c r="N27" s="1">
        <v>2315477.7535999999</v>
      </c>
      <c r="O27" s="1">
        <v>1229404.36620274</v>
      </c>
      <c r="P27" s="1">
        <v>1937255.4412712329</v>
      </c>
      <c r="Q27" s="1">
        <v>1304437.36620274</v>
      </c>
      <c r="R27" s="1">
        <v>2062310.4412712329</v>
      </c>
      <c r="S27" s="1" t="s">
        <v>140</v>
      </c>
    </row>
    <row r="28" spans="1:19" x14ac:dyDescent="0.35">
      <c r="A28" s="1" t="s">
        <v>118</v>
      </c>
      <c r="B28" s="1" t="s">
        <v>119</v>
      </c>
      <c r="C28" s="1" t="s">
        <v>145</v>
      </c>
      <c r="D28" s="1">
        <v>12</v>
      </c>
      <c r="E28" s="1">
        <v>10.878</v>
      </c>
      <c r="F28" s="1">
        <v>0.33032383561643791</v>
      </c>
      <c r="G28" s="1">
        <v>7.7549039999999998</v>
      </c>
      <c r="H28" s="1">
        <v>8.085227835616438</v>
      </c>
      <c r="I28" s="1">
        <v>9.7526278356164386</v>
      </c>
      <c r="J28" s="1">
        <v>-15409.795330023901</v>
      </c>
      <c r="K28" s="1">
        <v>-20732.59492596842</v>
      </c>
      <c r="L28" s="1">
        <v>-17187.957586961958</v>
      </c>
      <c r="M28" s="1">
        <v>657137.75359999994</v>
      </c>
      <c r="N28" s="1">
        <v>983477.75359999994</v>
      </c>
      <c r="O28" s="1">
        <v>531463.00620273966</v>
      </c>
      <c r="P28" s="1">
        <v>774019.84127123281</v>
      </c>
      <c r="Q28" s="1">
        <v>606496.00620273966</v>
      </c>
      <c r="R28" s="1">
        <v>899074.84127123281</v>
      </c>
      <c r="S28" s="1" t="s">
        <v>140</v>
      </c>
    </row>
    <row r="29" spans="1:19" x14ac:dyDescent="0.35">
      <c r="A29" s="1" t="s">
        <v>118</v>
      </c>
      <c r="B29" s="1" t="s">
        <v>119</v>
      </c>
      <c r="C29" s="1" t="s">
        <v>146</v>
      </c>
      <c r="D29" s="1">
        <v>12</v>
      </c>
      <c r="E29" s="1">
        <v>28.638000000000002</v>
      </c>
      <c r="F29" s="1">
        <v>0.33032383561643791</v>
      </c>
      <c r="G29" s="1">
        <v>23.264711999999999</v>
      </c>
      <c r="H29" s="1">
        <v>23.595035835616439</v>
      </c>
      <c r="I29" s="1">
        <v>25.26243583561644</v>
      </c>
      <c r="J29" s="1">
        <v>-5853.3331098540393</v>
      </c>
      <c r="K29" s="1">
        <v>-7104.3652897092779</v>
      </c>
      <c r="L29" s="1">
        <v>-6635.4548979662804</v>
      </c>
      <c r="M29" s="1">
        <v>1456337.7535999999</v>
      </c>
      <c r="N29" s="1">
        <v>2315477.7535999999</v>
      </c>
      <c r="O29" s="1">
        <v>1229404.36620274</v>
      </c>
      <c r="P29" s="1">
        <v>1937255.4412712329</v>
      </c>
      <c r="Q29" s="1">
        <v>1304437.36620274</v>
      </c>
      <c r="R29" s="1">
        <v>2062310.4412712329</v>
      </c>
      <c r="S29" s="1" t="s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7" customWidth="1"/>
    <col min="3" max="5" width="28" customWidth="1"/>
    <col min="6" max="6" width="31" customWidth="1"/>
    <col min="7" max="7" width="38" customWidth="1"/>
    <col min="8" max="8" width="28" customWidth="1"/>
    <col min="9" max="10" width="20" customWidth="1"/>
  </cols>
  <sheetData>
    <row r="1" spans="1:10" x14ac:dyDescent="0.35">
      <c r="A1" s="2" t="s">
        <v>159</v>
      </c>
      <c r="B1" s="2" t="s">
        <v>188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208</v>
      </c>
    </row>
    <row r="2" spans="1:10" x14ac:dyDescent="0.35">
      <c r="A2" s="5" t="str">
        <f>Economic_Calculations!A2</f>
        <v>Random</v>
      </c>
      <c r="B2" s="5">
        <f>Economic_Calculations!O2</f>
        <v>4</v>
      </c>
      <c r="C2" s="5">
        <f>Economic_Calculations!AQ2</f>
        <v>5.1699359999999999</v>
      </c>
      <c r="D2" s="5">
        <f>Economic_Calculations!AR2</f>
        <v>0.11019999999999985</v>
      </c>
      <c r="E2" s="5">
        <f>Economic_Calculations!AS2</f>
        <v>0.66600000000000004</v>
      </c>
      <c r="F2" s="5">
        <f>Economic_Calculations!AV2</f>
        <v>0.11010794520547931</v>
      </c>
      <c r="G2" s="5">
        <f>Economic_Calculations!AW2</f>
        <v>5.2800439452054793</v>
      </c>
      <c r="H2" s="5">
        <f>Economic_Calculations!AO2</f>
        <v>6.5860000000000003</v>
      </c>
      <c r="I2" s="5">
        <f>IFERROR(H2/F2,"")</f>
        <v>59.814030565273505</v>
      </c>
      <c r="J2" s="5">
        <f>IFERROR(H2/G2,"")</f>
        <v>1.2473381033088538</v>
      </c>
    </row>
    <row r="3" spans="1:10" x14ac:dyDescent="0.35">
      <c r="A3" s="5" t="str">
        <f>Economic_Calculations!A3</f>
        <v>LTBI-targeted</v>
      </c>
      <c r="B3" s="5">
        <f>Economic_Calculations!O3</f>
        <v>11</v>
      </c>
      <c r="C3" s="5">
        <f>Economic_Calculations!AQ3</f>
        <v>14.217324</v>
      </c>
      <c r="D3" s="5">
        <f>Economic_Calculations!AR3</f>
        <v>0.3030499999999996</v>
      </c>
      <c r="E3" s="5">
        <f>Economic_Calculations!AS3</f>
        <v>1.8315000000000001</v>
      </c>
      <c r="F3" s="5">
        <f>Economic_Calculations!AV3</f>
        <v>0.30277383561643795</v>
      </c>
      <c r="G3" s="5">
        <f>Economic_Calculations!AW3</f>
        <v>14.520097835616436</v>
      </c>
      <c r="H3" s="5">
        <f>Economic_Calculations!AO3</f>
        <v>18.111499999999999</v>
      </c>
      <c r="I3" s="5">
        <f>IFERROR(H3/F3,"")</f>
        <v>59.818577001957777</v>
      </c>
      <c r="J3" s="5">
        <f>IFERROR(H3/G3,"")</f>
        <v>1.2473400802833567</v>
      </c>
    </row>
    <row r="4" spans="1:10" x14ac:dyDescent="0.35">
      <c r="A4" s="5" t="str">
        <f>Economic_Calculations!A4</f>
        <v>Cure-targeted</v>
      </c>
      <c r="B4" s="5">
        <f>Economic_Calculations!O4</f>
        <v>11</v>
      </c>
      <c r="C4" s="5">
        <f>Economic_Calculations!AQ4</f>
        <v>14.217324</v>
      </c>
      <c r="D4" s="5">
        <f>Economic_Calculations!AR4</f>
        <v>0.3030499999999996</v>
      </c>
      <c r="E4" s="5">
        <f>Economic_Calculations!AS4</f>
        <v>1.8315000000000001</v>
      </c>
      <c r="F4" s="5">
        <f>Economic_Calculations!AV4</f>
        <v>0.30277383561643795</v>
      </c>
      <c r="G4" s="5">
        <f>Economic_Calculations!AW4</f>
        <v>14.520097835616436</v>
      </c>
      <c r="H4" s="5">
        <f>Economic_Calculations!AO4</f>
        <v>18.111499999999999</v>
      </c>
      <c r="I4" s="5">
        <f>IFERROR(H4/F4,"")</f>
        <v>59.818577001957777</v>
      </c>
      <c r="J4" s="5">
        <f>IFERROR(H4/G4,"")</f>
        <v>1.2473400802833567</v>
      </c>
    </row>
    <row r="5" spans="1:10" x14ac:dyDescent="0.35">
      <c r="A5" s="5" t="str">
        <f>Economic_Calculations!A5</f>
        <v>Prevention-targeted</v>
      </c>
      <c r="B5" s="5">
        <f>Economic_Calculations!O5</f>
        <v>12</v>
      </c>
      <c r="C5" s="5">
        <f>Economic_Calculations!AQ5</f>
        <v>15.509808</v>
      </c>
      <c r="D5" s="5">
        <f>Economic_Calculations!AR5</f>
        <v>0.33059999999999956</v>
      </c>
      <c r="E5" s="5">
        <f>Economic_Calculations!AS5</f>
        <v>1.9980000000000002</v>
      </c>
      <c r="F5" s="5">
        <f>Economic_Calculations!AV5</f>
        <v>0.33032383561643791</v>
      </c>
      <c r="G5" s="5">
        <f>Economic_Calculations!AW5</f>
        <v>15.840131835616438</v>
      </c>
      <c r="H5" s="5">
        <f>Economic_Calculations!AO5</f>
        <v>19.757999999999999</v>
      </c>
      <c r="I5" s="5">
        <f>IFERROR(H5/F5,"")</f>
        <v>59.814030565273505</v>
      </c>
      <c r="J5" s="5">
        <f>IFERROR(H5/G5,"")</f>
        <v>1.2473381033088538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topLeftCell="D1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2" width="22" customWidth="1"/>
    <col min="3" max="3" width="40" customWidth="1"/>
    <col min="4" max="7" width="22" customWidth="1"/>
    <col min="8" max="8" width="28" customWidth="1"/>
    <col min="9" max="9" width="22" customWidth="1"/>
    <col min="10" max="10" width="24" customWidth="1"/>
  </cols>
  <sheetData>
    <row r="1" spans="1:10" x14ac:dyDescent="0.35">
      <c r="A1" s="2" t="s">
        <v>159</v>
      </c>
      <c r="B1" s="2" t="s">
        <v>190</v>
      </c>
      <c r="C1" s="2" t="s">
        <v>191</v>
      </c>
      <c r="D1" s="2" t="s">
        <v>192</v>
      </c>
      <c r="E1" s="2" t="s">
        <v>189</v>
      </c>
      <c r="F1" s="2" t="s">
        <v>209</v>
      </c>
      <c r="G1" s="2" t="s">
        <v>210</v>
      </c>
      <c r="H1" s="2" t="s">
        <v>211</v>
      </c>
      <c r="I1" s="2" t="s">
        <v>188</v>
      </c>
      <c r="J1" s="2" t="s">
        <v>212</v>
      </c>
    </row>
    <row r="2" spans="1:10" x14ac:dyDescent="0.35">
      <c r="A2" s="5" t="str">
        <f>Strategy_Summary!A2</f>
        <v>Random</v>
      </c>
      <c r="B2" s="5">
        <f>Strategy_Summary!D2</f>
        <v>6.5860000000000003</v>
      </c>
      <c r="C2" s="5">
        <f>Strategy_Summary!E2</f>
        <v>0.11010794520547931</v>
      </c>
      <c r="D2" s="5">
        <f>Strategy_Summary!F2</f>
        <v>5.2800439452054793</v>
      </c>
      <c r="E2" s="5">
        <f>Strategy_Summary!C2</f>
        <v>12143.830400000006</v>
      </c>
      <c r="F2" s="5">
        <f>Strategy_Summary!H2</f>
        <v>5.8358439452054798</v>
      </c>
      <c r="G2" s="5">
        <f>Strategy_Summary!I2</f>
        <v>0.11010794520547931</v>
      </c>
      <c r="H2" s="5">
        <f>Economic_Calculations!AZ2</f>
        <v>1843.8855754631045</v>
      </c>
      <c r="I2" s="5">
        <f>Strategy_Summary!B2</f>
        <v>4</v>
      </c>
      <c r="J2" s="5">
        <f>Strategy_Summary!M2</f>
        <v>0</v>
      </c>
    </row>
    <row r="3" spans="1:10" x14ac:dyDescent="0.35">
      <c r="A3" s="5" t="str">
        <f>Strategy_Summary!A3</f>
        <v>LTBI-targeted</v>
      </c>
      <c r="B3" s="5">
        <f>Strategy_Summary!D3</f>
        <v>18.111499999999999</v>
      </c>
      <c r="C3" s="5">
        <f>Strategy_Summary!E3</f>
        <v>0.30277383561643795</v>
      </c>
      <c r="D3" s="5">
        <f>Strategy_Summary!F3</f>
        <v>14.520097835616436</v>
      </c>
      <c r="E3" s="5">
        <f>Strategy_Summary!C3</f>
        <v>-105120.61759999997</v>
      </c>
      <c r="F3" s="5">
        <f>Strategy_Summary!H3</f>
        <v>16.048547835616439</v>
      </c>
      <c r="G3" s="5">
        <f>Strategy_Summary!I3</f>
        <v>0.30277383561643795</v>
      </c>
      <c r="H3" s="5">
        <f>Economic_Calculations!AZ3</f>
        <v>-5804.0812522430488</v>
      </c>
      <c r="I3" s="5">
        <f>Strategy_Summary!B3</f>
        <v>11</v>
      </c>
      <c r="J3" s="5">
        <f>Strategy_Summary!M3</f>
        <v>105120.61759999997</v>
      </c>
    </row>
    <row r="4" spans="1:10" x14ac:dyDescent="0.35">
      <c r="A4" s="5" t="str">
        <f>Strategy_Summary!A4</f>
        <v>Cure-targeted</v>
      </c>
      <c r="B4" s="5">
        <f>Strategy_Summary!D4</f>
        <v>18.111499999999999</v>
      </c>
      <c r="C4" s="5">
        <f>Strategy_Summary!E4</f>
        <v>0.30277383561643795</v>
      </c>
      <c r="D4" s="5">
        <f>Strategy_Summary!F4</f>
        <v>14.520097835616436</v>
      </c>
      <c r="E4" s="5">
        <f>Strategy_Summary!C4</f>
        <v>-105120.61759999997</v>
      </c>
      <c r="F4" s="5">
        <f>Strategy_Summary!H4</f>
        <v>16.048547835616439</v>
      </c>
      <c r="G4" s="5">
        <f>Strategy_Summary!I4</f>
        <v>0.30277383561643795</v>
      </c>
      <c r="H4" s="5">
        <f>Economic_Calculations!AZ4</f>
        <v>-5804.0812522430488</v>
      </c>
      <c r="I4" s="5">
        <f>Strategy_Summary!B4</f>
        <v>11</v>
      </c>
      <c r="J4" s="5">
        <f>Strategy_Summary!M4</f>
        <v>105120.61759999997</v>
      </c>
    </row>
    <row r="5" spans="1:10" x14ac:dyDescent="0.35">
      <c r="A5" s="5" t="str">
        <f>Strategy_Summary!A5</f>
        <v>Prevention-targeted</v>
      </c>
      <c r="B5" s="5">
        <f>Strategy_Summary!D5</f>
        <v>19.757999999999999</v>
      </c>
      <c r="C5" s="5">
        <f>Strategy_Summary!E5</f>
        <v>0.33032383561643791</v>
      </c>
      <c r="D5" s="5">
        <f>Strategy_Summary!F5</f>
        <v>15.840131835616438</v>
      </c>
      <c r="E5" s="5">
        <f>Strategy_Summary!C5</f>
        <v>-126527.75359999998</v>
      </c>
      <c r="F5" s="5">
        <f>Strategy_Summary!H5</f>
        <v>17.50753183561644</v>
      </c>
      <c r="G5" s="5">
        <f>Strategy_Summary!I5</f>
        <v>0.33032383561643791</v>
      </c>
      <c r="H5" s="5">
        <f>Economic_Calculations!AZ5</f>
        <v>-6403.8745622026518</v>
      </c>
      <c r="I5" s="5">
        <f>Strategy_Summary!B5</f>
        <v>12</v>
      </c>
      <c r="J5" s="5">
        <f>Strategy_Summary!M5</f>
        <v>126527.75359999998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cols>
    <col min="1" max="1" width="44" customWidth="1"/>
  </cols>
  <sheetData>
    <row r="1" spans="1:1" ht="29" x14ac:dyDescent="0.35">
      <c r="A1" s="1" t="s">
        <v>213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33" customWidth="1"/>
    <col min="2" max="2" width="44" customWidth="1"/>
    <col min="3" max="3" width="40" customWidth="1"/>
  </cols>
  <sheetData>
    <row r="1" spans="1:3" x14ac:dyDescent="0.35">
      <c r="A1" s="2" t="s">
        <v>214</v>
      </c>
      <c r="B1" s="2" t="s">
        <v>215</v>
      </c>
      <c r="C1" s="2" t="s">
        <v>14</v>
      </c>
    </row>
    <row r="2" spans="1:3" x14ac:dyDescent="0.35">
      <c r="A2" s="1" t="s">
        <v>216</v>
      </c>
      <c r="B2" s="5" t="e">
        <f ca="1">_xludf.ISFORMULA(Strategy_Summary!B2)</f>
        <v>#NAME?</v>
      </c>
      <c r="C2" s="1" t="s">
        <v>217</v>
      </c>
    </row>
    <row r="3" spans="1:3" x14ac:dyDescent="0.35">
      <c r="A3" s="1" t="s">
        <v>218</v>
      </c>
      <c r="B3" s="5" t="e">
        <f ca="1">_xludf.ISFORMULA(Chart_Data!B2)</f>
        <v>#NAME?</v>
      </c>
      <c r="C3" s="1" t="s">
        <v>217</v>
      </c>
    </row>
    <row r="4" spans="1:3" ht="29" x14ac:dyDescent="0.35">
      <c r="A4" s="1" t="s">
        <v>219</v>
      </c>
      <c r="B4" s="1" t="s">
        <v>220</v>
      </c>
      <c r="C4" s="1" t="s">
        <v>221</v>
      </c>
    </row>
    <row r="5" spans="1:3" ht="29" x14ac:dyDescent="0.35">
      <c r="A5" s="1" t="s">
        <v>222</v>
      </c>
      <c r="B5" s="1" t="s">
        <v>223</v>
      </c>
      <c r="C5" s="1" t="s">
        <v>224</v>
      </c>
    </row>
    <row r="6" spans="1:3" ht="29" x14ac:dyDescent="0.35">
      <c r="A6" s="1" t="s">
        <v>225</v>
      </c>
      <c r="B6" s="1" t="s">
        <v>226</v>
      </c>
      <c r="C6" s="1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Inputs_Assumptions</vt:lpstr>
      <vt:lpstr>Model_Outputs</vt:lpstr>
      <vt:lpstr>Economic_Calculations</vt:lpstr>
      <vt:lpstr>Strategy_Summary</vt:lpstr>
      <vt:lpstr>DALY_QALY_Source_Audit</vt:lpstr>
      <vt:lpstr>Sensitivity</vt:lpstr>
      <vt:lpstr>Mortality_Adjusted_QALY</vt:lpstr>
      <vt:lpstr>Chart_Data</vt:lpstr>
      <vt:lpstr>Editable_Charts</vt:lpstr>
      <vt:lpstr>Formula_Audit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McBryde</cp:lastModifiedBy>
  <dcterms:created xsi:type="dcterms:W3CDTF">2026-06-03T11:32:00Z</dcterms:created>
  <dcterms:modified xsi:type="dcterms:W3CDTF">2026-06-04T06:06:52Z</dcterms:modified>
</cp:coreProperties>
</file>